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1a84519001430/"/>
    </mc:Choice>
  </mc:AlternateContent>
  <xr:revisionPtr revIDLastSave="0" documentId="14_{D70A6BCD-2691-43E6-BBCC-80E8CA6B37C3}" xr6:coauthVersionLast="47" xr6:coauthVersionMax="47" xr10:uidLastSave="{00000000-0000-0000-0000-000000000000}"/>
  <bookViews>
    <workbookView xWindow="-108" yWindow="-108" windowWidth="23256" windowHeight="12456" firstSheet="1" activeTab="5" xr2:uid="{C32D43DF-92FB-4889-91E8-026D559841DE}"/>
  </bookViews>
  <sheets>
    <sheet name="Sheet2" sheetId="4" r:id="rId1"/>
    <sheet name="Sheet3" sheetId="5" r:id="rId2"/>
    <sheet name="Sheet4" sheetId="6" r:id="rId3"/>
    <sheet name="train" sheetId="1" r:id="rId4"/>
    <sheet name="Data Quality Check" sheetId="2" r:id="rId5"/>
    <sheet name="EDA" sheetId="3" r:id="rId6"/>
  </sheets>
  <definedNames>
    <definedName name="_xlnm._FilterDatabase" localSheetId="3" hidden="1">train!$B$1:$B$892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20" i="3"/>
  <c r="B17" i="3"/>
  <c r="B16" i="3"/>
  <c r="B15" i="3"/>
  <c r="B14" i="3"/>
  <c r="B13" i="3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B8" i="3"/>
  <c r="B7" i="3"/>
  <c r="B5" i="3"/>
  <c r="B6" i="3" s="1"/>
  <c r="B4" i="3"/>
  <c r="F9" i="2"/>
  <c r="F10" i="2"/>
  <c r="F11" i="2"/>
  <c r="G2" i="2"/>
  <c r="F2" i="2"/>
  <c r="E2" i="2"/>
  <c r="D2" i="2"/>
  <c r="B14" i="2"/>
  <c r="B13" i="2"/>
  <c r="B12" i="2"/>
  <c r="B11" i="2"/>
  <c r="B10" i="2"/>
  <c r="B9" i="2"/>
  <c r="B8" i="2"/>
  <c r="B5" i="2"/>
  <c r="B4" i="2"/>
  <c r="B3" i="2"/>
  <c r="B6" i="2"/>
</calcChain>
</file>

<file path=xl/sharedStrings.xml><?xml version="1.0" encoding="utf-8"?>
<sst xmlns="http://schemas.openxmlformats.org/spreadsheetml/2006/main" count="3889" uniqueCount="1277">
  <si>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</si>
  <si>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</si>
  <si>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</si>
  <si>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</si>
  <si>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</si>
  <si>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</si>
  <si>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</si>
  <si>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</si>
  <si>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</si>
  <si>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</si>
  <si>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</si>
  <si>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</si>
  <si>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</si>
  <si>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</si>
  <si>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</si>
  <si>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</si>
  <si>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</si>
  <si>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</si>
  <si>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</si>
  <si>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</si>
  <si>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</si>
  <si>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</si>
  <si>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</si>
  <si>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</si>
  <si>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</si>
  <si>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</si>
  <si>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</si>
  <si>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</si>
  <si>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</si>
  <si>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</si>
  <si>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</si>
  <si>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</si>
  <si>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</si>
  <si>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</si>
  <si>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</si>
  <si>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</si>
  <si>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</si>
  <si>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</si>
  <si>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</si>
  <si>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</si>
  <si>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</si>
  <si>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</si>
  <si>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</si>
  <si>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</si>
  <si>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</si>
  <si>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</si>
  <si>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</si>
  <si>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</si>
  <si>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</si>
  <si>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</si>
  <si>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</si>
  <si>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</si>
  <si>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</si>
  <si>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</si>
  <si>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</si>
  <si>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</si>
  <si>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</si>
  <si>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</si>
  <si>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</si>
  <si>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</si>
  <si>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</si>
  <si>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</si>
  <si>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</si>
  <si>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</si>
  <si>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</si>
  <si>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</si>
  <si>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</si>
  <si>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</si>
  <si>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</si>
  <si>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</si>
  <si>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</si>
  <si>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</si>
  <si>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</si>
  <si>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</si>
  <si>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</si>
  <si>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</si>
  <si>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</si>
  <si>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</si>
  <si>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</si>
  <si>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</si>
  <si>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</si>
  <si>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</si>
  <si>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</si>
  <si>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</si>
  <si>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</si>
  <si>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</si>
  <si>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</si>
  <si>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</si>
  <si>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</si>
  <si>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</si>
  <si>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</si>
  <si>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</si>
  <si>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</si>
  <si>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</si>
  <si>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</si>
  <si>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</si>
  <si>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</si>
  <si>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</si>
  <si>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</si>
  <si>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</si>
  <si>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</si>
  <si>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</si>
  <si>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</si>
  <si>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</si>
  <si>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</si>
  <si>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</si>
  <si>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</si>
  <si>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</si>
  <si>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</si>
  <si>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</si>
  <si>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</si>
  <si>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</si>
  <si>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</si>
  <si>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</si>
  <si>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</si>
  <si>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</si>
  <si>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</si>
  <si>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</si>
  <si>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</si>
  <si>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</si>
  <si>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</si>
  <si>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</si>
  <si>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</si>
  <si>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</si>
  <si>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</si>
  <si>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</si>
  <si>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</si>
  <si>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</si>
  <si>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</si>
  <si>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</si>
  <si>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</si>
  <si>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</si>
  <si>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</si>
  <si>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</si>
  <si>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</si>
  <si>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</si>
  <si>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</si>
  <si>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</si>
  <si>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</si>
  <si>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</si>
  <si>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</si>
  <si>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</si>
  <si>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</si>
  <si>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</si>
  <si>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</si>
  <si>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</si>
  <si>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</si>
  <si>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</si>
  <si>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</si>
  <si>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</si>
  <si>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</si>
  <si>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</si>
  <si>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</si>
  <si>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</si>
  <si>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</si>
  <si>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</si>
  <si>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</si>
  <si>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</si>
  <si>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</si>
  <si>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</si>
  <si>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</si>
  <si>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</si>
  <si>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</si>
  <si>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</si>
  <si>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</si>
  <si>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</si>
  <si>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</si>
  <si>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</si>
  <si>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</si>
  <si>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</si>
  <si>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</si>
  <si>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</si>
  <si>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</si>
  <si>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</si>
  <si>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</si>
  <si>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</si>
  <si>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</si>
  <si>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</si>
  <si>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</si>
  <si>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</si>
  <si>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</si>
  <si>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</si>
  <si>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</si>
  <si>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</si>
  <si>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</si>
  <si>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</si>
  <si>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</si>
  <si>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</si>
  <si>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</si>
  <si>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</si>
  <si>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</si>
  <si>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</si>
  <si>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</si>
  <si>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</si>
  <si>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</si>
  <si>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</si>
  <si>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</si>
  <si>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</si>
  <si>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</si>
  <si>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</si>
  <si>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</si>
  <si>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</si>
  <si>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</si>
  <si>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</si>
  <si>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</si>
  <si>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</si>
  <si>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</si>
  <si>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</si>
  <si>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</si>
  <si>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</si>
  <si>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</si>
  <si>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</si>
  <si>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</si>
  <si>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</si>
  <si>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</si>
  <si>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</si>
  <si>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</si>
  <si>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</si>
  <si>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</si>
  <si>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</si>
  <si>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</si>
  <si>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</si>
  <si>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</si>
  <si>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</si>
  <si>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</si>
  <si>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</si>
  <si>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</si>
  <si>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</si>
  <si>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</si>
  <si>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</si>
  <si>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</si>
  <si>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</si>
  <si>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</si>
  <si>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</si>
  <si>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</si>
  <si>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</si>
  <si>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</si>
  <si>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</si>
  <si>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</si>
  <si>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</si>
  <si>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</si>
  <si>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</si>
  <si>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</si>
  <si>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</si>
  <si>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</si>
  <si>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</si>
  <si>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</si>
  <si>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</si>
  <si>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</si>
  <si>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</si>
  <si>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</si>
  <si>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</si>
  <si>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</si>
  <si>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</si>
  <si>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</si>
  <si>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</si>
  <si>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</si>
  <si>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</si>
  <si>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</si>
  <si>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</si>
  <si>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</si>
  <si>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</si>
  <si>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</si>
  <si>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</si>
  <si>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</si>
  <si>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</si>
  <si>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</si>
  <si>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</si>
  <si>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</si>
  <si>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</si>
  <si>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</si>
  <si>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</si>
  <si>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</si>
  <si>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</si>
  <si>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</si>
  <si>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</si>
  <si>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</si>
  <si>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</si>
  <si>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</si>
  <si>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</si>
  <si>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</si>
  <si>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</si>
  <si>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</si>
  <si>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</si>
  <si>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</si>
  <si>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</si>
  <si>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</si>
  <si>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</si>
  <si>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</si>
  <si>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</si>
  <si>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</si>
  <si>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</si>
  <si>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</si>
  <si>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</si>
  <si>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</si>
  <si>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</si>
  <si>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</si>
  <si>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</si>
  <si>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</si>
  <si>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</si>
  <si>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</si>
  <si>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</si>
  <si>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</si>
  <si>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</si>
  <si>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</si>
  <si>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</si>
  <si>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</si>
  <si>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</si>
  <si>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</si>
  <si>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</si>
  <si>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</si>
  <si>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</si>
  <si>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</si>
  <si>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</si>
  <si>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</si>
  <si>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</si>
  <si>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</si>
  <si>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</si>
  <si>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</si>
  <si>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</si>
  <si>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</si>
  <si>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</si>
  <si>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</si>
  <si>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</si>
  <si>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</si>
  <si>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</si>
  <si>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</si>
  <si>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</si>
  <si>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</si>
  <si>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</si>
  <si>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</si>
  <si>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</si>
  <si>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</si>
  <si>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</si>
  <si>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</si>
  <si>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</si>
  <si>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</si>
  <si>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</si>
  <si>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</si>
  <si>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</si>
  <si>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</si>
  <si>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</si>
  <si>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</si>
  <si>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</si>
  <si>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</si>
  <si>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</si>
  <si>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</si>
  <si>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</si>
  <si>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</si>
  <si>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</si>
  <si>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</si>
  <si>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</si>
  <si>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</si>
  <si>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</si>
  <si>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</si>
  <si>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</si>
  <si>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</si>
  <si>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</si>
  <si>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</si>
  <si>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</si>
  <si>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</si>
  <si>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</si>
  <si>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</si>
  <si>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</si>
  <si>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</si>
  <si>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</si>
  <si>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</si>
  <si>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</si>
  <si>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</si>
  <si>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</si>
  <si>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</si>
  <si>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</si>
  <si>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</si>
  <si>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</si>
  <si>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</si>
  <si>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</si>
  <si>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</si>
  <si>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</si>
  <si>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</si>
  <si>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</si>
  <si>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</si>
  <si>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</si>
  <si>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</si>
  <si>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</si>
  <si>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</si>
  <si>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</si>
  <si>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</si>
  <si>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</si>
  <si>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</si>
  <si>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</si>
  <si>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</si>
  <si>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</si>
  <si>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</si>
  <si>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</si>
  <si>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</si>
  <si>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</si>
  <si>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</si>
  <si>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</si>
  <si>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</si>
  <si>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</si>
  <si>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</si>
  <si>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</si>
  <si>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</si>
  <si>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</si>
  <si>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</si>
  <si>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</si>
  <si>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</si>
  <si>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</si>
  <si>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</si>
  <si>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</si>
  <si>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</si>
  <si>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</si>
  <si>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</si>
  <si>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</si>
  <si>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</si>
  <si>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</si>
  <si>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</si>
  <si>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</si>
  <si>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</si>
  <si>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</si>
  <si>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</si>
  <si>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</si>
  <si>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</si>
  <si>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</si>
  <si>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</si>
  <si>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</si>
  <si>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</si>
  <si>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</si>
  <si>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</si>
  <si>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</si>
  <si>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</si>
  <si>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</si>
  <si>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</si>
  <si>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</si>
  <si>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</si>
  <si>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</si>
  <si>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</si>
  <si>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</si>
  <si>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</si>
  <si>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</si>
  <si>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</si>
  <si>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</si>
  <si>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</si>
  <si>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</si>
  <si>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</si>
  <si>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</si>
  <si>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</si>
  <si>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</si>
  <si>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</si>
  <si>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</si>
  <si>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</si>
  <si>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</si>
  <si>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</si>
  <si>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</si>
  <si>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</si>
  <si>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</si>
  <si>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</si>
  <si>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</si>
  <si>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</si>
  <si>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</si>
  <si>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</si>
  <si>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</si>
  <si>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</si>
  <si>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</si>
  <si>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</si>
  <si>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</si>
  <si>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</si>
  <si>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</si>
  <si>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</si>
  <si>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</si>
  <si>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</si>
  <si>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</si>
  <si>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</si>
  <si>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</si>
  <si>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</si>
  <si>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</si>
  <si>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</si>
  <si>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</si>
  <si>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</si>
  <si>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</si>
  <si>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</si>
  <si>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</si>
  <si>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</si>
  <si>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</si>
  <si>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</si>
  <si>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</si>
  <si>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</si>
  <si>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</si>
  <si>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</si>
  <si>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</si>
  <si>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</si>
  <si>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</si>
  <si>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</si>
  <si>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</si>
  <si>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</si>
  <si>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</si>
  <si>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</si>
  <si>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</si>
  <si>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</si>
  <si>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</si>
  <si>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</si>
  <si>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</si>
  <si>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</si>
  <si>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</si>
  <si>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</si>
  <si>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</si>
  <si>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</si>
  <si>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</si>
  <si>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</si>
  <si>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</si>
  <si>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</si>
  <si>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</si>
  <si>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</si>
  <si>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</si>
  <si>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</si>
  <si>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</si>
  <si>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</si>
  <si>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</si>
  <si>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</si>
  <si>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</si>
  <si>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</si>
  <si>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</si>
  <si>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</si>
  <si>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</si>
  <si>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</si>
  <si>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</si>
  <si>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</si>
  <si>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</si>
  <si>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</si>
  <si>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</si>
  <si>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</si>
  <si>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</si>
  <si>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</si>
  <si>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</si>
  <si>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</si>
  <si>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</si>
  <si>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</si>
  <si>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</si>
  <si>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</si>
  <si>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</si>
  <si>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</si>
  <si>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</si>
  <si>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</si>
  <si>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</si>
  <si>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</si>
  <si>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</si>
  <si>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</si>
  <si>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</si>
  <si>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</si>
  <si>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</si>
  <si>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</si>
  <si>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</si>
  <si>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</si>
  <si>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</si>
  <si>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</si>
  <si>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</si>
  <si>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</si>
  <si>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</si>
  <si>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</si>
  <si>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</si>
  <si>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</si>
  <si>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</si>
  <si>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</si>
  <si>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</si>
  <si>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</si>
  <si>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</si>
  <si>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</si>
  <si>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</si>
  <si>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</si>
  <si>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</si>
  <si>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</si>
  <si>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</si>
  <si>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</si>
  <si>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</si>
  <si>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</si>
  <si>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</si>
  <si>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</si>
  <si>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</si>
  <si>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</si>
  <si>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</si>
  <si>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</si>
  <si>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</si>
  <si>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</si>
  <si>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</si>
  <si>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</si>
  <si>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</si>
  <si>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</si>
  <si>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</si>
  <si>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</si>
  <si>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</si>
  <si>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</si>
  <si>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</si>
  <si>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</si>
  <si>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</si>
  <si>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</si>
  <si>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</si>
  <si>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</si>
  <si>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</si>
  <si>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</si>
  <si>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</si>
  <si>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</si>
  <si>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</si>
  <si>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</si>
  <si>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</si>
  <si>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</si>
  <si>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</si>
  <si>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</si>
  <si>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</si>
  <si>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</si>
  <si>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</si>
  <si>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</si>
  <si>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</si>
  <si>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</si>
  <si>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</si>
  <si>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</si>
  <si>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</si>
  <si>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</si>
  <si>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</si>
  <si>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</si>
  <si>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</si>
  <si>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</si>
  <si>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</si>
  <si>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</si>
  <si>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</si>
  <si>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</si>
  <si>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</si>
  <si>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</si>
  <si>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</si>
  <si>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</si>
  <si>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</si>
  <si>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</si>
  <si>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</si>
  <si>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</si>
  <si>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</si>
  <si>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</si>
  <si>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</si>
  <si>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</si>
  <si>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</si>
  <si>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</si>
  <si>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</si>
  <si>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</si>
  <si>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</si>
  <si>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</si>
  <si>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</si>
  <si>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</si>
  <si>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</si>
  <si>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</si>
  <si>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</si>
  <si>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</si>
  <si>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</si>
  <si>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</si>
  <si>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</si>
  <si>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</si>
  <si>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</si>
  <si>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</si>
  <si>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</si>
  <si>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</si>
  <si>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</si>
  <si>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</si>
  <si>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</si>
  <si>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</si>
  <si>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</si>
  <si>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</si>
  <si>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</si>
  <si>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</si>
  <si>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</si>
  <si>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</si>
  <si>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</si>
  <si>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</si>
  <si>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</si>
  <si>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</si>
  <si>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</si>
  <si>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</si>
  <si>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</si>
  <si>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</si>
  <si>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</si>
  <si>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</si>
  <si>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</si>
  <si>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</si>
  <si>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</si>
  <si>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</si>
  <si>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</si>
  <si>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</si>
  <si>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</si>
  <si>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</si>
  <si>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</si>
  <si>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</si>
  <si>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</si>
  <si>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</si>
  <si>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</si>
  <si>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</si>
  <si>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</si>
  <si>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</si>
  <si>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</si>
  <si>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</si>
  <si>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</si>
  <si>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</si>
  <si>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</si>
  <si>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</si>
  <si>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</si>
  <si>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</si>
  <si>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</si>
  <si>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</si>
  <si>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</si>
  <si>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</si>
  <si>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</si>
  <si>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</si>
  <si>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</si>
  <si>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</si>
  <si>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</si>
  <si>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</si>
  <si>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</si>
  <si>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</si>
  <si>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</si>
  <si>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</si>
  <si>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</si>
  <si>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</si>
  <si>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</si>
  <si>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</si>
  <si>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</si>
  <si>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</si>
  <si>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</si>
  <si>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</si>
  <si>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</si>
  <si>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</si>
  <si>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</si>
  <si>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</si>
  <si>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</si>
  <si>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</si>
  <si>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</si>
  <si>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</si>
  <si>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</si>
  <si>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</si>
  <si>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</si>
  <si>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</si>
  <si>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</si>
  <si>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</si>
  <si>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</si>
  <si>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</si>
  <si>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</si>
  <si>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</si>
  <si>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</si>
  <si>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</si>
  <si>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</si>
  <si>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</si>
  <si>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</si>
  <si>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</si>
  <si>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</si>
  <si>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</si>
  <si>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</si>
  <si>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</si>
  <si>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</si>
  <si>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</si>
  <si>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</si>
  <si>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</si>
  <si>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</si>
  <si>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</si>
  <si>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</si>
  <si>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</si>
  <si>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</si>
  <si>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</si>
  <si>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</si>
  <si>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</si>
  <si>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</si>
  <si>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</si>
  <si>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</si>
  <si>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</si>
  <si>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</si>
  <si>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</si>
  <si>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</si>
  <si>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</si>
  <si>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</si>
  <si>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</si>
  <si>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</si>
  <si>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</si>
  <si>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</si>
  <si>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</si>
  <si>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</si>
  <si>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</si>
  <si>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</si>
  <si>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</si>
  <si>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</si>
  <si>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</si>
  <si>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</si>
  <si>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</si>
  <si>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</si>
  <si>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</si>
  <si>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</si>
  <si>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</si>
  <si>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</si>
  <si>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</si>
  <si>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</si>
  <si>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</si>
  <si>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</si>
  <si>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</si>
  <si>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</si>
  <si>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</si>
  <si>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</si>
  <si>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</si>
  <si>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</si>
  <si>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</si>
  <si>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</si>
  <si>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</si>
  <si>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</si>
  <si>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</si>
  <si>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</si>
  <si>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</si>
  <si>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</si>
  <si>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</si>
  <si>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</si>
  <si>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</si>
  <si>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</si>
  <si>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</si>
  <si>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</si>
  <si>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</si>
  <si>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</si>
  <si>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</si>
  <si>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</si>
  <si>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</si>
  <si>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</si>
  <si>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</si>
  <si>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</si>
  <si>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</si>
  <si>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</si>
  <si>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</si>
  <si>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</si>
  <si>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</si>
  <si>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</si>
  <si>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</si>
  <si>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</si>
  <si>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</si>
  <si>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</si>
  <si>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</si>
  <si>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</si>
  <si>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</si>
  <si>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</si>
  <si>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</si>
  <si>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</si>
  <si>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</si>
  <si>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</si>
  <si>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</si>
  <si>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</si>
  <si>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</si>
  <si>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</si>
  <si>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</si>
  <si>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</si>
  <si>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</si>
  <si>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</si>
  <si>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</si>
  <si>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</si>
  <si>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</si>
  <si>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</si>
  <si>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</si>
  <si>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</si>
  <si>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</si>
  <si>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</si>
  <si>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</si>
  <si>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</si>
  <si>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</si>
  <si>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</si>
  <si>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</si>
  <si>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</si>
  <si>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</si>
  <si>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</si>
  <si>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</si>
  <si>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</si>
  <si>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</si>
  <si>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</si>
  <si>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</si>
  <si>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</si>
  <si>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</si>
  <si>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</si>
  <si>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</si>
  <si>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</si>
  <si>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</si>
  <si>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</si>
  <si>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</si>
  <si>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</si>
  <si>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</si>
  <si>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</si>
  <si>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</si>
  <si>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</si>
  <si>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</si>
  <si>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</si>
  <si>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</si>
  <si>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</si>
  <si>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</si>
  <si>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</si>
  <si>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</si>
  <si>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</si>
  <si>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</si>
  <si>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</si>
  <si>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</si>
  <si>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</si>
  <si>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</si>
  <si>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</si>
  <si>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</si>
  <si>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</si>
  <si>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</si>
  <si>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</si>
  <si>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</si>
  <si>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</si>
  <si>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</si>
  <si>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</si>
  <si>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</si>
  <si>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</si>
  <si>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</si>
  <si>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</si>
  <si>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</si>
  <si>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</si>
  <si>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</si>
  <si>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</si>
  <si>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</si>
  <si>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</si>
  <si>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</si>
  <si>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</si>
  <si>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</si>
  <si>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</si>
  <si>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</si>
  <si>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</si>
  <si>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</si>
  <si>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</si>
  <si>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</si>
  <si>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</si>
  <si>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</si>
  <si>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</si>
  <si>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</si>
  <si>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</si>
  <si>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</si>
  <si>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</si>
  <si>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</si>
  <si>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</si>
  <si>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</si>
  <si>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</si>
  <si>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</si>
  <si>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</si>
  <si>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</si>
  <si>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</si>
  <si>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</si>
  <si>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</si>
  <si>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</si>
  <si>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</si>
  <si>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</si>
  <si>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</si>
  <si>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</si>
  <si>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</si>
  <si>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</si>
  <si>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</si>
  <si>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</si>
  <si>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</si>
  <si>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</si>
  <si>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</si>
  <si>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</si>
  <si>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</si>
  <si>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</si>
  <si>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</si>
  <si>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</si>
  <si>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</si>
  <si>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</si>
  <si>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</si>
  <si>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</si>
  <si>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</si>
  <si>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</si>
  <si>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</si>
  <si>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</si>
  <si>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</si>
  <si>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</si>
  <si>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</si>
  <si>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</si>
  <si>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</si>
  <si>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</si>
  <si>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</si>
  <si>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</si>
  <si>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</si>
  <si>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</si>
  <si>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</si>
  <si>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</si>
  <si>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</si>
  <si>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</si>
  <si>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</si>
  <si>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</si>
  <si>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</si>
  <si>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</si>
  <si>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</si>
  <si>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</si>
  <si>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</si>
  <si>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</si>
  <si>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</si>
  <si>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</si>
  <si>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</si>
  <si>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</si>
  <si>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</si>
  <si>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</si>
  <si>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</si>
  <si>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</si>
  <si>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</si>
  <si>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</si>
  <si>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</si>
  <si>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</si>
  <si>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</si>
  <si>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</si>
  <si>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</si>
  <si>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</si>
  <si>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</si>
  <si>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</si>
  <si>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</si>
  <si>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</si>
  <si>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</si>
  <si>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</si>
  <si>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</si>
  <si>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</si>
  <si>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</si>
  <si>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</si>
  <si>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</si>
  <si>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</si>
  <si>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</si>
  <si>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</si>
  <si>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</si>
  <si>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</si>
  <si>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</si>
  <si>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</si>
  <si>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</si>
  <si>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</si>
  <si>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</si>
  <si>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</si>
  <si>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</si>
  <si>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</si>
  <si>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</si>
  <si>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</si>
  <si>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</si>
  <si>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</si>
  <si>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</si>
  <si>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</si>
  <si>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</si>
  <si>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</si>
  <si>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</si>
  <si>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</si>
  <si>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</si>
  <si>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</si>
  <si>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</si>
  <si>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</si>
  <si>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</si>
  <si>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</si>
  <si>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</si>
  <si>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</si>
  <si>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</si>
  <si>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</si>
  <si>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</si>
  <si>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</si>
  <si>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</si>
  <si>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</si>
  <si>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</si>
  <si>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</si>
  <si>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</si>
  <si>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</si>
  <si>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</si>
  <si>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</si>
  <si>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</si>
  <si>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</si>
  <si>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</si>
  <si>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</si>
  <si>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</si>
  <si>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</si>
  <si>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</si>
  <si>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</si>
  <si>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</si>
  <si>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</si>
  <si>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</si>
  <si>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</si>
  <si>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</si>
  <si>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</si>
  <si>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</si>
  <si>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</si>
  <si>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</si>
  <si>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</si>
  <si>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</si>
  <si>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</si>
  <si>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</si>
  <si>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</si>
  <si>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</si>
  <si>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</si>
  <si>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</si>
  <si>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</si>
  <si>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</si>
  <si>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</si>
  <si>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</si>
  <si>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</si>
  <si>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</si>
  <si>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</si>
  <si>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</si>
  <si>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</si>
  <si>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</si>
  <si>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</si>
  <si>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</si>
  <si>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</si>
  <si>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</si>
  <si>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</si>
  <si>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</si>
  <si>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</si>
  <si>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</si>
  <si>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</si>
  <si>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</si>
  <si>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</si>
  <si>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</si>
  <si>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</si>
  <si>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</si>
  <si>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</si>
  <si>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</si>
  <si>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</si>
  <si>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</si>
  <si>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</si>
  <si>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</si>
  <si>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</si>
  <si>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</si>
  <si>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</si>
  <si>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</si>
  <si>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</si>
  <si>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</si>
  <si>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</si>
  <si>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</si>
  <si>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</si>
  <si>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</si>
  <si>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</si>
  <si>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</si>
  <si>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</si>
  <si>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</si>
  <si>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</si>
  <si>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</si>
  <si>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</si>
  <si>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</si>
  <si>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</si>
  <si>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</si>
  <si>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</si>
  <si>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</si>
  <si>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</si>
  <si>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</si>
  <si>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</si>
  <si>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</si>
  <si>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</si>
  <si>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</si>
  <si>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</si>
  <si>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</si>
  <si>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</si>
  <si>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</si>
  <si>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</si>
  <si>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</si>
  <si>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</si>
  <si>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</si>
  <si>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</si>
  <si>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</si>
  <si>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</si>
  <si>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</si>
  <si>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</si>
  <si>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</si>
  <si>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</si>
  <si>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</si>
  <si>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</si>
  <si>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</si>
  <si>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</si>
  <si>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</si>
  <si>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</si>
  <si>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</si>
  <si>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</si>
  <si>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</si>
  <si>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</si>
  <si>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</si>
  <si>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</si>
  <si>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</si>
  <si>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</si>
  <si>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</si>
  <si>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</si>
  <si>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</si>
  <si>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</si>
  <si>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</si>
  <si>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</si>
  <si>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</si>
  <si>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</si>
  <si>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</si>
  <si>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</si>
  <si>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</si>
  <si>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</si>
  <si>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</si>
  <si>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</si>
  <si>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</si>
  <si>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</si>
  <si>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</si>
  <si>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</si>
  <si>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</si>
  <si>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</si>
  <si>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</si>
  <si>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</si>
  <si>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</si>
  <si>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</si>
  <si>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</si>
  <si>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</si>
  <si>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</si>
  <si>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</si>
  <si>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</si>
  <si>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</si>
  <si>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</si>
  <si>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</si>
  <si>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</si>
  <si>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</si>
  <si>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</si>
  <si>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</si>
  <si>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</si>
  <si>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</si>
  <si>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</si>
  <si>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</si>
  <si>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</si>
  <si>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</si>
  <si>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</si>
  <si>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</si>
  <si>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</si>
  <si>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</si>
  <si>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</si>
  <si>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</si>
  <si>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</si>
  <si>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</si>
  <si>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</si>
  <si>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</si>
  <si>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</si>
  <si>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A</t>
  </si>
  <si>
    <t>B</t>
  </si>
  <si>
    <t>Column</t>
  </si>
  <si>
    <t>Missing Values</t>
  </si>
  <si>
    <t>Check</t>
  </si>
  <si>
    <t>Result</t>
  </si>
  <si>
    <t>Duplicate Records</t>
  </si>
  <si>
    <t>0 duplicates found</t>
  </si>
  <si>
    <t>Sex consistency</t>
  </si>
  <si>
    <r>
      <t>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 only</t>
    </r>
  </si>
  <si>
    <t>Embarked consistency</t>
  </si>
  <si>
    <t>Pclass consistency</t>
  </si>
  <si>
    <r>
      <t>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</t>
    </r>
    <r>
      <rPr>
        <sz val="11"/>
        <color theme="1"/>
        <rFont val="Aptos Narrow"/>
        <family val="2"/>
        <scheme val="minor"/>
      </rPr>
      <t xml:space="preserve"> only</t>
    </r>
  </si>
  <si>
    <t>Survived consistency</t>
  </si>
  <si>
    <r>
      <t>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only</t>
    </r>
  </si>
  <si>
    <t>Unknown</t>
  </si>
  <si>
    <t>s</t>
  </si>
  <si>
    <t>Minimum Age</t>
  </si>
  <si>
    <t>Maximum Age</t>
  </si>
  <si>
    <t>Minimum Fare</t>
  </si>
  <si>
    <t>Maximum Fare</t>
  </si>
  <si>
    <t>Formula</t>
  </si>
  <si>
    <t>Expected Result</t>
  </si>
  <si>
    <t>Missing Age</t>
  </si>
  <si>
    <t>Missing Cabin</t>
  </si>
  <si>
    <t>Missing Embarked</t>
  </si>
  <si>
    <r>
      <t>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</t>
    </r>
    <r>
      <rPr>
        <sz val="11"/>
        <color theme="1"/>
        <rFont val="Aptos Narrow"/>
        <family val="2"/>
        <scheme val="minor"/>
      </rPr>
      <t xml:space="preserve">  only</t>
    </r>
  </si>
  <si>
    <t>Cell</t>
  </si>
  <si>
    <t>Type</t>
  </si>
  <si>
    <t>Statistic</t>
  </si>
  <si>
    <t>Value</t>
  </si>
  <si>
    <t>Total Passengers</t>
  </si>
  <si>
    <t>Total Survivors</t>
  </si>
  <si>
    <t>Survival Rate</t>
  </si>
  <si>
    <t>Average Age</t>
  </si>
  <si>
    <t>Average Fare</t>
  </si>
  <si>
    <t>Row Labels</t>
  </si>
  <si>
    <t>Grand Total</t>
  </si>
  <si>
    <t>Column Labels</t>
  </si>
  <si>
    <t>Sum of Survived</t>
  </si>
  <si>
    <t>Count of Embarked</t>
  </si>
  <si>
    <t>Age Group</t>
  </si>
  <si>
    <t>Passenger Count</t>
  </si>
  <si>
    <t>Child</t>
  </si>
  <si>
    <t>Teenager</t>
  </si>
  <si>
    <t>Adult</t>
  </si>
  <si>
    <t>Middle Age</t>
  </si>
  <si>
    <t>Senior</t>
  </si>
  <si>
    <t>Passenger Class</t>
  </si>
  <si>
    <t>Key Insights</t>
  </si>
  <si>
    <t>2. Female passengers had 233 survivors, compared with 109 male survivors.</t>
  </si>
  <si>
    <t>3. First-class passengers had the highest average fare at 84.15, compared with 20.66 for second class and 13.68 for third class.</t>
  </si>
  <si>
    <t>4. Most passengers were adults, with 565 passengers in the Adult age group.</t>
  </si>
  <si>
    <t>5. Southampton (S) was the most common embarkation port among the passengers.</t>
  </si>
  <si>
    <r>
      <t>EDA</t>
    </r>
    <r>
      <rPr>
        <sz val="18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</si>
</sst>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/>
    <xf numFmtId="0" fontId="18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0" fontId="18" fillId="0" borderId="0" xfId="0" applyNumberFormat="1" applyFont="1" applyAlignment="1">
      <alignment horizontal="center" vertical="center" wrapText="1"/>
    </xf>
    <xf numFmtId="2" fontId="18" fillId="0" borderId="0" xfId="42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wrapText="1"/>
    </xf>
    <xf numFmtId="0" fontId="19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center" wrapText="1"/>
    </xf>
    <xf numFmtId="0" fontId="20" fillId="0" borderId="0" xfId="0" applyFont="1"/>
    <xf numFmtId="0" fontId="22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[SWYNEX_Titanic_Data_Cleaning.xlsx  TASK 2.xlsx]Sheet2!PivotTable1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58705161854765E-2"/>
          <c:y val="0.14249781277340332"/>
          <c:w val="0.7382246281714786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4-4D1E-B5B3-2025D77364C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4-4D1E-B5B3-2025D77364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9059440"/>
        <c:axId val="1522402512"/>
      </c:barChart>
      <c:catAx>
        <c:axId val="184905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2512"/>
        <c:crosses val="autoZero"/>
        <c:auto val="1"/>
        <c:lblAlgn val="ctr"/>
        <c:lblOffset val="100"/>
        <c:noMultiLvlLbl val="0"/>
      </c:catAx>
      <c:valAx>
        <c:axId val="15224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5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[SWYNEX_Titanic_Data_Cleaning.xlsx  TASK 2.xlsx]Sheet3!PivotTable2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A-4052-BFDC-8C05F850088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A-4052-BFDC-8C05F85008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7980848"/>
        <c:axId val="1522392912"/>
      </c:barChart>
      <c:catAx>
        <c:axId val="186798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92912"/>
        <c:crosses val="autoZero"/>
        <c:auto val="1"/>
        <c:lblAlgn val="ctr"/>
        <c:lblOffset val="100"/>
        <c:noMultiLvlLbl val="0"/>
      </c:catAx>
      <c:valAx>
        <c:axId val="152239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8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[SWYNEX_Titanic_Data_Cleaning.xlsx  TASK 2.xlsx]Sheet4!PivotTable3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Passengers by Embarked 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C</c:v>
                </c:pt>
                <c:pt idx="1">
                  <c:v>Q</c:v>
                </c:pt>
                <c:pt idx="2">
                  <c:v>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168</c:v>
                </c:pt>
                <c:pt idx="1">
                  <c:v>77</c:v>
                </c:pt>
                <c:pt idx="2">
                  <c:v>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A-4DB5-B97E-D4C9F6C432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020390880"/>
        <c:axId val="1522380912"/>
      </c:barChart>
      <c:catAx>
        <c:axId val="202039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80912"/>
        <c:crosses val="autoZero"/>
        <c:auto val="1"/>
        <c:lblAlgn val="ctr"/>
        <c:lblOffset val="100"/>
        <c:noMultiLvlLbl val="0"/>
      </c:catAx>
      <c:valAx>
        <c:axId val="152238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39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Passengers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EDA!$A$11:$A$17</c15:sqref>
                  </c15:fullRef>
                </c:ext>
              </c:extLst>
              <c:f>EDA!$A$13:$A$17</c:f>
              <c:strCache>
                <c:ptCount val="5"/>
                <c:pt idx="0">
                  <c:v>Child</c:v>
                </c:pt>
                <c:pt idx="1">
                  <c:v>Teenager</c:v>
                </c:pt>
                <c:pt idx="2">
                  <c:v>Adult</c:v>
                </c:pt>
                <c:pt idx="3">
                  <c:v>Middle Age</c:v>
                </c:pt>
                <c:pt idx="4">
                  <c:v>Senior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EDA!$B$11:$B$17</c15:sqref>
                  </c15:fullRef>
                </c:ext>
              </c:extLst>
              <c:f>EDA!$B$13:$B$17</c:f>
              <c:numCache>
                <c:formatCode>General</c:formatCode>
                <c:ptCount val="5"/>
                <c:pt idx="0">
                  <c:v>68</c:v>
                </c:pt>
                <c:pt idx="1">
                  <c:v>95</c:v>
                </c:pt>
                <c:pt idx="2">
                  <c:v>565</c:v>
                </c:pt>
                <c:pt idx="3">
                  <c:v>137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5-41A9-943E-436E3CE63F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71152416"/>
        <c:axId val="1421418320"/>
      </c:barChart>
      <c:catAx>
        <c:axId val="19711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418320"/>
        <c:crosses val="autoZero"/>
        <c:auto val="1"/>
        <c:lblAlgn val="ctr"/>
        <c:lblOffset val="100"/>
        <c:noMultiLvlLbl val="0"/>
      </c:catAx>
      <c:valAx>
        <c:axId val="142141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1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Fare by Passenger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EDA!$B$19</c:f>
              <c:strCache>
                <c:ptCount val="1"/>
                <c:pt idx="0">
                  <c:v>Average Fare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EDA!$B$20:$B$22</c:f>
              <c:numCache>
                <c:formatCode>General</c:formatCode>
                <c:ptCount val="3"/>
                <c:pt idx="0">
                  <c:v>84.154687499999923</c:v>
                </c:pt>
                <c:pt idx="1">
                  <c:v>20.66218315217391</c:v>
                </c:pt>
                <c:pt idx="2">
                  <c:v>13.675550101832997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E-419F-9286-6FCC16E13F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5871264"/>
        <c:axId val="2121349296"/>
      </c:barChart>
      <c:catAx>
        <c:axId val="199587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349296"/>
        <c:crosses val="autoZero"/>
        <c:auto val="1"/>
        <c:lblAlgn val="ctr"/>
        <c:lblOffset val="100"/>
        <c:noMultiLvlLbl val="0"/>
      </c:catAx>
      <c:valAx>
        <c:axId val="21213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8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150857</xdr:colOff>
      <xdr:row>0</xdr:row>
      <xdr:rowOff>106680</xdr:rowOff>
    </xdr:from>
    <xdr:to>
      <xdr:col>10</xdr:col>
      <xdr:colOff>455657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8A01D-FEC0-408F-B0F3-35A4636A3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320040</xdr:colOff>
      <xdr:row>0</xdr:row>
      <xdr:rowOff>152401</xdr:rowOff>
    </xdr:from>
    <xdr:ext cx="1762983" cy="3505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DBDB2C-BC34-0E5D-9E11-E6CB3475F520}"/>
            </a:ext>
          </a:extLst>
        </xdr:cNvPr>
        <xdr:cNvSpPr txBox="1"/>
      </xdr:nvSpPr>
      <xdr:spPr>
        <a:xfrm>
          <a:off x="4884420" y="152401"/>
          <a:ext cx="1762983" cy="3505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 b="1">
              <a:solidFill>
                <a:schemeClr val="accent4"/>
              </a:solidFill>
            </a:rPr>
            <a:t>Survival by Gender</a:t>
          </a:r>
        </a:p>
      </xdr:txBody>
    </xdr:sp>
    <xdr:clientData/>
  </xdr:oneCellAnchor>
  <xdr:twoCellAnchor>
    <xdr:from>
      <xdr:col>10</xdr:col>
      <xdr:colOff>586740</xdr:colOff>
      <xdr:row>0</xdr:row>
      <xdr:rowOff>114300</xdr:rowOff>
    </xdr:from>
    <xdr:to>
      <xdr:col>18</xdr:col>
      <xdr:colOff>281940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D4BB27-3C1F-4812-8276-3E9FFD324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411480</xdr:colOff>
      <xdr:row>16</xdr:row>
      <xdr:rowOff>15240</xdr:rowOff>
    </xdr:from>
    <xdr:to>
      <xdr:col>10</xdr:col>
      <xdr:colOff>106680</xdr:colOff>
      <xdr:row>31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624FA6-518A-4101-BD40-92C1E5008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365760</xdr:colOff>
      <xdr:row>15</xdr:row>
      <xdr:rowOff>148590</xdr:rowOff>
    </xdr:from>
    <xdr:to>
      <xdr:col>18</xdr:col>
      <xdr:colOff>60960</xdr:colOff>
      <xdr:row>30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2D338C-46B6-49D1-770C-B7F97D398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388620</xdr:colOff>
      <xdr:row>0</xdr:row>
      <xdr:rowOff>121920</xdr:rowOff>
    </xdr:from>
    <xdr:to>
      <xdr:col>26</xdr:col>
      <xdr:colOff>83820</xdr:colOff>
      <xdr:row>15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4AF445-4BA0-5C06-25D9-C427D24EC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0.32333</cdr:x>
      <cdr:y>0</cdr:y>
    </cdr:from>
    <cdr:to>
      <cdr:x>0.615</cdr:x>
      <cdr:y>0.11806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451228-C500-BC96-C6D4-EBE77E5887BF}"/>
            </a:ext>
          </a:extLst>
        </cdr:cNvPr>
        <cdr:cNvSpPr txBox="1"/>
      </cdr:nvSpPr>
      <cdr:spPr>
        <a:xfrm xmlns:a="http://schemas.openxmlformats.org/drawingml/2006/main">
          <a:off x="1478280" y="0"/>
          <a:ext cx="13335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b="1">
              <a:solidFill>
                <a:schemeClr val="accent4"/>
              </a:solidFill>
            </a:rPr>
            <a:t>Survival by Passenger Class</a:t>
          </a:r>
          <a:endParaRPr lang="en-IN" sz="1600" b="1" kern="1200">
            <a:solidFill>
              <a:schemeClr val="accent4"/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lagundla Mahendra" refreshedDate="46288.931732175923" createdVersion="8" refreshedVersion="8" minRefreshableVersion="3" recordCount="891" xr:uid="{04533EDD-298B-4AAF-B1EC-C5083272AF66}">
  <cacheSource type="worksheet">
    <worksheetSource name="Table5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 count="88">
        <n v="22"/>
        <n v="38"/>
        <n v="26"/>
        <n v="35"/>
        <n v="28"/>
        <n v="54"/>
        <n v="2"/>
        <n v="27"/>
        <n v="14"/>
        <n v="4"/>
        <n v="58"/>
        <n v="20"/>
        <n v="39"/>
        <n v="55"/>
        <n v="31"/>
        <n v="34"/>
        <n v="15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/>
    </cacheField>
    <cacheField name="Embarked" numFmtId="0">
      <sharedItems count="3">
        <s v="S"/>
        <s v="C"/>
        <s v="Q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x v="0"/>
    <s v="Braund, Mr. Owen Harris"/>
    <x v="0"/>
    <x v="0"/>
    <n v="1"/>
    <n v="0"/>
    <s v="A/5 21171"/>
    <n v="7.25"/>
    <s v="Unknown"/>
    <x v="0"/>
  </r>
  <r>
    <n v="2"/>
    <x v="1"/>
    <x v="1"/>
    <s v="Cumings, Mrs. John Bradley (Florence Briggs Thayer)"/>
    <x v="1"/>
    <x v="1"/>
    <n v="1"/>
    <n v="0"/>
    <s v="PC 17599"/>
    <n v="71.283299999999997"/>
    <s v="C85"/>
    <x v="1"/>
  </r>
  <r>
    <n v="3"/>
    <x v="1"/>
    <x v="0"/>
    <s v="Heikkinen, Miss. Laina"/>
    <x v="1"/>
    <x v="2"/>
    <n v="0"/>
    <n v="0"/>
    <s v="STON/O2. 3101282"/>
    <n v="7.9249999999999998"/>
    <s v="Unknown"/>
    <x v="0"/>
  </r>
  <r>
    <n v="4"/>
    <x v="1"/>
    <x v="1"/>
    <s v="Futrelle, Mrs. Jacques Heath (Lily May Peel)"/>
    <x v="1"/>
    <x v="3"/>
    <n v="1"/>
    <n v="0"/>
    <n v="113803"/>
    <n v="53.1"/>
    <s v="C123"/>
    <x v="0"/>
  </r>
  <r>
    <n v="5"/>
    <x v="0"/>
    <x v="0"/>
    <s v="Allen, Mr. William Henry"/>
    <x v="0"/>
    <x v="3"/>
    <n v="0"/>
    <n v="0"/>
    <n v="373450"/>
    <n v="8.0500000000000007"/>
    <s v="Unknown"/>
    <x v="0"/>
  </r>
  <r>
    <n v="6"/>
    <x v="0"/>
    <x v="0"/>
    <s v="Moran, Mr. James"/>
    <x v="0"/>
    <x v="4"/>
    <n v="0"/>
    <n v="0"/>
    <n v="330877"/>
    <n v="8.4582999999999995"/>
    <s v="Unknown"/>
    <x v="2"/>
  </r>
  <r>
    <n v="7"/>
    <x v="0"/>
    <x v="1"/>
    <s v="McCarthy, Mr. Timothy J"/>
    <x v="0"/>
    <x v="5"/>
    <n v="0"/>
    <n v="0"/>
    <n v="17463"/>
    <n v="51.862499999999997"/>
    <s v="E46"/>
    <x v="0"/>
  </r>
  <r>
    <n v="8"/>
    <x v="0"/>
    <x v="0"/>
    <s v="Palsson, Master. Gosta Leonard"/>
    <x v="0"/>
    <x v="6"/>
    <n v="3"/>
    <n v="1"/>
    <n v="349909"/>
    <n v="21.074999999999999"/>
    <s v="Unknown"/>
    <x v="0"/>
  </r>
  <r>
    <n v="9"/>
    <x v="1"/>
    <x v="0"/>
    <s v="Johnson, Mrs. Oscar W (Elisabeth Vilhelmina Berg)"/>
    <x v="1"/>
    <x v="7"/>
    <n v="0"/>
    <n v="2"/>
    <n v="347742"/>
    <n v="11.1333"/>
    <s v="Unknown"/>
    <x v="0"/>
  </r>
  <r>
    <n v="10"/>
    <x v="1"/>
    <x v="2"/>
    <s v="Nasser, Mrs. Nicholas (Adele Achem)"/>
    <x v="1"/>
    <x v="8"/>
    <n v="1"/>
    <n v="0"/>
    <n v="237736"/>
    <n v="30.070799999999998"/>
    <s v="Unknown"/>
    <x v="1"/>
  </r>
  <r>
    <n v="11"/>
    <x v="1"/>
    <x v="0"/>
    <s v="Sandstrom, Miss. Marguerite Rut"/>
    <x v="1"/>
    <x v="9"/>
    <n v="1"/>
    <n v="1"/>
    <s v="PP 9549"/>
    <n v="16.7"/>
    <s v="G6"/>
    <x v="0"/>
  </r>
  <r>
    <n v="12"/>
    <x v="1"/>
    <x v="1"/>
    <s v="Bonnell, Miss. Elizabeth"/>
    <x v="1"/>
    <x v="10"/>
    <n v="0"/>
    <n v="0"/>
    <n v="113783"/>
    <n v="26.55"/>
    <s v="C103"/>
    <x v="0"/>
  </r>
  <r>
    <n v="13"/>
    <x v="0"/>
    <x v="0"/>
    <s v="Saundercock, Mr. William Henry"/>
    <x v="0"/>
    <x v="11"/>
    <n v="0"/>
    <n v="0"/>
    <s v="A/5. 2151"/>
    <n v="8.0500000000000007"/>
    <s v="Unknown"/>
    <x v="0"/>
  </r>
  <r>
    <n v="14"/>
    <x v="0"/>
    <x v="0"/>
    <s v="Andersson, Mr. Anders Johan"/>
    <x v="0"/>
    <x v="12"/>
    <n v="1"/>
    <n v="5"/>
    <n v="347082"/>
    <n v="31.274999999999999"/>
    <s v="Unknown"/>
    <x v="0"/>
  </r>
  <r>
    <n v="15"/>
    <x v="0"/>
    <x v="0"/>
    <s v="Vestrom, Miss. Hulda Amanda Adolfina"/>
    <x v="1"/>
    <x v="8"/>
    <n v="0"/>
    <n v="0"/>
    <n v="350406"/>
    <n v="7.8541999999999996"/>
    <s v="Unknown"/>
    <x v="0"/>
  </r>
  <r>
    <n v="16"/>
    <x v="1"/>
    <x v="2"/>
    <s v="Hewlett, Mrs. (Mary D Kingcome) "/>
    <x v="1"/>
    <x v="13"/>
    <n v="0"/>
    <n v="0"/>
    <n v="248706"/>
    <n v="16"/>
    <s v="Unknown"/>
    <x v="0"/>
  </r>
  <r>
    <n v="17"/>
    <x v="0"/>
    <x v="0"/>
    <s v="Rice, Master. Eugene"/>
    <x v="0"/>
    <x v="4"/>
    <n v="4"/>
    <n v="1"/>
    <n v="382652"/>
    <n v="29.125"/>
    <s v="Unknown"/>
    <x v="2"/>
  </r>
  <r>
    <n v="18"/>
    <x v="1"/>
    <x v="2"/>
    <s v="Williams, Mr. Charles Eugene"/>
    <x v="0"/>
    <x v="4"/>
    <n v="0"/>
    <n v="0"/>
    <n v="244373"/>
    <n v="13"/>
    <s v="Unknown"/>
    <x v="0"/>
  </r>
  <r>
    <n v="19"/>
    <x v="0"/>
    <x v="0"/>
    <s v="Vander Planke, Mrs. Julius (Emelia Maria Vandemoortele)"/>
    <x v="1"/>
    <x v="14"/>
    <n v="1"/>
    <n v="0"/>
    <n v="345763"/>
    <n v="18"/>
    <s v="Unknown"/>
    <x v="0"/>
  </r>
  <r>
    <n v="20"/>
    <x v="1"/>
    <x v="0"/>
    <s v="Masselmani, Mrs. Fatima"/>
    <x v="1"/>
    <x v="4"/>
    <n v="0"/>
    <n v="0"/>
    <n v="2649"/>
    <n v="7.2249999999999996"/>
    <s v="Unknown"/>
    <x v="1"/>
  </r>
  <r>
    <n v="21"/>
    <x v="0"/>
    <x v="2"/>
    <s v="Fynney, Mr. Joseph J"/>
    <x v="0"/>
    <x v="3"/>
    <n v="0"/>
    <n v="0"/>
    <n v="239865"/>
    <n v="26"/>
    <s v="Unknown"/>
    <x v="0"/>
  </r>
  <r>
    <n v="22"/>
    <x v="1"/>
    <x v="2"/>
    <s v="Beesley, Mr. Lawrence"/>
    <x v="0"/>
    <x v="15"/>
    <n v="0"/>
    <n v="0"/>
    <n v="248698"/>
    <n v="13"/>
    <s v="D56"/>
    <x v="0"/>
  </r>
  <r>
    <n v="23"/>
    <x v="1"/>
    <x v="0"/>
    <s v="McGowan, Miss. Anna &quot;Annie&quot;"/>
    <x v="1"/>
    <x v="16"/>
    <n v="0"/>
    <n v="0"/>
    <n v="330923"/>
    <n v="8.0291999999999994"/>
    <s v="Unknown"/>
    <x v="2"/>
  </r>
  <r>
    <n v="24"/>
    <x v="1"/>
    <x v="1"/>
    <s v="Sloper, Mr. William Thompson"/>
    <x v="0"/>
    <x v="4"/>
    <n v="0"/>
    <n v="0"/>
    <n v="113788"/>
    <n v="35.5"/>
    <s v="A6"/>
    <x v="0"/>
  </r>
  <r>
    <n v="25"/>
    <x v="0"/>
    <x v="0"/>
    <s v="Palsson, Miss. Torborg Danira"/>
    <x v="1"/>
    <x v="17"/>
    <n v="3"/>
    <n v="1"/>
    <n v="349909"/>
    <n v="21.074999999999999"/>
    <s v="Unknown"/>
    <x v="0"/>
  </r>
  <r>
    <n v="26"/>
    <x v="1"/>
    <x v="0"/>
    <s v="Asplund, Mrs. Carl Oscar (Selma Augusta Emilia Johansson)"/>
    <x v="1"/>
    <x v="1"/>
    <n v="1"/>
    <n v="5"/>
    <n v="347077"/>
    <n v="31.387499999999999"/>
    <s v="Unknown"/>
    <x v="0"/>
  </r>
  <r>
    <n v="27"/>
    <x v="0"/>
    <x v="0"/>
    <s v="Emir, Mr. Farred Chehab"/>
    <x v="0"/>
    <x v="4"/>
    <n v="0"/>
    <n v="0"/>
    <n v="2631"/>
    <n v="7.2249999999999996"/>
    <s v="Unknown"/>
    <x v="1"/>
  </r>
  <r>
    <n v="28"/>
    <x v="0"/>
    <x v="1"/>
    <s v="Fortune, Mr. Charles Alexander"/>
    <x v="0"/>
    <x v="18"/>
    <n v="3"/>
    <n v="2"/>
    <n v="19950"/>
    <n v="263"/>
    <s v="C23 C25 C27"/>
    <x v="0"/>
  </r>
  <r>
    <n v="29"/>
    <x v="1"/>
    <x v="0"/>
    <s v="O'Dwyer, Miss. Ellen &quot;Nellie&quot;"/>
    <x v="1"/>
    <x v="4"/>
    <n v="0"/>
    <n v="0"/>
    <n v="330959"/>
    <n v="7.8792"/>
    <s v="Unknown"/>
    <x v="2"/>
  </r>
  <r>
    <n v="30"/>
    <x v="0"/>
    <x v="0"/>
    <s v="Todoroff, Mr. Lalio"/>
    <x v="0"/>
    <x v="4"/>
    <n v="0"/>
    <n v="0"/>
    <n v="349216"/>
    <n v="7.8958000000000004"/>
    <s v="Unknown"/>
    <x v="0"/>
  </r>
  <r>
    <n v="31"/>
    <x v="0"/>
    <x v="1"/>
    <s v="Uruchurtu, Don. Manuel E"/>
    <x v="0"/>
    <x v="19"/>
    <n v="0"/>
    <n v="0"/>
    <s v="PC 17601"/>
    <n v="27.720800000000001"/>
    <s v="Unknown"/>
    <x v="1"/>
  </r>
  <r>
    <n v="32"/>
    <x v="1"/>
    <x v="1"/>
    <s v="Spencer, Mrs. William Augustus (Marie Eugenie)"/>
    <x v="1"/>
    <x v="4"/>
    <n v="1"/>
    <n v="0"/>
    <s v="PC 17569"/>
    <n v="146.52080000000001"/>
    <s v="B78"/>
    <x v="1"/>
  </r>
  <r>
    <n v="33"/>
    <x v="1"/>
    <x v="0"/>
    <s v="Glynn, Miss. Mary Agatha"/>
    <x v="1"/>
    <x v="4"/>
    <n v="0"/>
    <n v="0"/>
    <n v="335677"/>
    <n v="7.75"/>
    <s v="Unknown"/>
    <x v="2"/>
  </r>
  <r>
    <n v="34"/>
    <x v="0"/>
    <x v="2"/>
    <s v="Wheadon, Mr. Edward H"/>
    <x v="0"/>
    <x v="20"/>
    <n v="0"/>
    <n v="0"/>
    <s v="C.A. 24579"/>
    <n v="10.5"/>
    <s v="Unknown"/>
    <x v="0"/>
  </r>
  <r>
    <n v="35"/>
    <x v="0"/>
    <x v="1"/>
    <s v="Meyer, Mr. Edgar Joseph"/>
    <x v="0"/>
    <x v="4"/>
    <n v="1"/>
    <n v="0"/>
    <s v="PC 17604"/>
    <n v="82.1708"/>
    <s v="Unknown"/>
    <x v="1"/>
  </r>
  <r>
    <n v="36"/>
    <x v="0"/>
    <x v="1"/>
    <s v="Holverson, Mr. Alexander Oskar"/>
    <x v="0"/>
    <x v="21"/>
    <n v="1"/>
    <n v="0"/>
    <n v="113789"/>
    <n v="52"/>
    <s v="Unknown"/>
    <x v="0"/>
  </r>
  <r>
    <n v="37"/>
    <x v="1"/>
    <x v="0"/>
    <s v="Mamee, Mr. Hanna"/>
    <x v="0"/>
    <x v="4"/>
    <n v="0"/>
    <n v="0"/>
    <n v="2677"/>
    <n v="7.2291999999999996"/>
    <s v="Unknown"/>
    <x v="1"/>
  </r>
  <r>
    <n v="38"/>
    <x v="0"/>
    <x v="0"/>
    <s v="Cann, Mr. Ernest Charles"/>
    <x v="0"/>
    <x v="22"/>
    <n v="0"/>
    <n v="0"/>
    <s v="A./5. 2152"/>
    <n v="8.0500000000000007"/>
    <s v="Unknown"/>
    <x v="0"/>
  </r>
  <r>
    <n v="39"/>
    <x v="0"/>
    <x v="0"/>
    <s v="Vander Planke, Miss. Augusta Maria"/>
    <x v="1"/>
    <x v="23"/>
    <n v="2"/>
    <n v="0"/>
    <n v="345764"/>
    <n v="18"/>
    <s v="Unknown"/>
    <x v="0"/>
  </r>
  <r>
    <n v="40"/>
    <x v="1"/>
    <x v="0"/>
    <s v="Nicola-Yarred, Miss. Jamila"/>
    <x v="1"/>
    <x v="8"/>
    <n v="1"/>
    <n v="0"/>
    <n v="2651"/>
    <n v="11.2417"/>
    <s v="Unknown"/>
    <x v="1"/>
  </r>
  <r>
    <n v="41"/>
    <x v="0"/>
    <x v="0"/>
    <s v="Ahlin, Mrs. Johan (Johanna Persdotter Larsson)"/>
    <x v="1"/>
    <x v="19"/>
    <n v="1"/>
    <n v="0"/>
    <n v="7546"/>
    <n v="9.4749999999999996"/>
    <s v="Unknown"/>
    <x v="0"/>
  </r>
  <r>
    <n v="42"/>
    <x v="0"/>
    <x v="2"/>
    <s v="Turpin, Mrs. William John Robert (Dorothy Ann Wonnacott)"/>
    <x v="1"/>
    <x v="7"/>
    <n v="1"/>
    <n v="0"/>
    <n v="11668"/>
    <n v="21"/>
    <s v="Unknown"/>
    <x v="0"/>
  </r>
  <r>
    <n v="43"/>
    <x v="0"/>
    <x v="0"/>
    <s v="Kraeff, Mr. Theodor"/>
    <x v="0"/>
    <x v="4"/>
    <n v="0"/>
    <n v="0"/>
    <n v="349253"/>
    <n v="7.8958000000000004"/>
    <s v="Unknown"/>
    <x v="1"/>
  </r>
  <r>
    <n v="44"/>
    <x v="1"/>
    <x v="2"/>
    <s v="Laroche, Miss. Simonne Marie Anne Andree"/>
    <x v="1"/>
    <x v="24"/>
    <n v="1"/>
    <n v="2"/>
    <s v="SC/Paris 2123"/>
    <n v="41.5792"/>
    <s v="Unknown"/>
    <x v="1"/>
  </r>
  <r>
    <n v="45"/>
    <x v="1"/>
    <x v="0"/>
    <s v="Devaney, Miss. Margaret Delia"/>
    <x v="1"/>
    <x v="18"/>
    <n v="0"/>
    <n v="0"/>
    <n v="330958"/>
    <n v="7.8792"/>
    <s v="Unknown"/>
    <x v="2"/>
  </r>
  <r>
    <n v="46"/>
    <x v="0"/>
    <x v="0"/>
    <s v="Rogers, Mr. William John"/>
    <x v="0"/>
    <x v="4"/>
    <n v="0"/>
    <n v="0"/>
    <s v="S.C./A.4. 23567"/>
    <n v="8.0500000000000007"/>
    <s v="Unknown"/>
    <x v="0"/>
  </r>
  <r>
    <n v="47"/>
    <x v="0"/>
    <x v="0"/>
    <s v="Lennon, Mr. Denis"/>
    <x v="0"/>
    <x v="4"/>
    <n v="1"/>
    <n v="0"/>
    <n v="370371"/>
    <n v="15.5"/>
    <s v="Unknown"/>
    <x v="2"/>
  </r>
  <r>
    <n v="48"/>
    <x v="1"/>
    <x v="0"/>
    <s v="O'Driscoll, Miss. Bridget"/>
    <x v="1"/>
    <x v="4"/>
    <n v="0"/>
    <n v="0"/>
    <n v="14311"/>
    <n v="7.75"/>
    <s v="Unknown"/>
    <x v="2"/>
  </r>
  <r>
    <n v="49"/>
    <x v="0"/>
    <x v="0"/>
    <s v="Samaan, Mr. Youssef"/>
    <x v="0"/>
    <x v="4"/>
    <n v="2"/>
    <n v="0"/>
    <n v="2662"/>
    <n v="21.679200000000002"/>
    <s v="Unknown"/>
    <x v="1"/>
  </r>
  <r>
    <n v="50"/>
    <x v="0"/>
    <x v="0"/>
    <s v="Arnold-Franchi, Mrs. Josef (Josefine Franchi)"/>
    <x v="1"/>
    <x v="23"/>
    <n v="1"/>
    <n v="0"/>
    <n v="349237"/>
    <n v="17.8"/>
    <s v="Unknown"/>
    <x v="0"/>
  </r>
  <r>
    <n v="51"/>
    <x v="0"/>
    <x v="0"/>
    <s v="Panula, Master. Juha Niilo"/>
    <x v="0"/>
    <x v="25"/>
    <n v="4"/>
    <n v="1"/>
    <n v="3101295"/>
    <n v="39.6875"/>
    <s v="Unknown"/>
    <x v="0"/>
  </r>
  <r>
    <n v="52"/>
    <x v="0"/>
    <x v="0"/>
    <s v="Nosworthy, Mr. Richard Cater"/>
    <x v="0"/>
    <x v="22"/>
    <n v="0"/>
    <n v="0"/>
    <s v="A/4. 39886"/>
    <n v="7.8"/>
    <s v="Unknown"/>
    <x v="0"/>
  </r>
  <r>
    <n v="53"/>
    <x v="1"/>
    <x v="1"/>
    <s v="Harper, Mrs. Henry Sleeper (Myna Haxtun)"/>
    <x v="1"/>
    <x v="26"/>
    <n v="1"/>
    <n v="0"/>
    <s v="PC 17572"/>
    <n v="76.729200000000006"/>
    <s v="D33"/>
    <x v="1"/>
  </r>
  <r>
    <n v="54"/>
    <x v="1"/>
    <x v="2"/>
    <s v="Faunthorpe, Mrs. Lizzie (Elizabeth Anne Wilkinson)"/>
    <x v="1"/>
    <x v="27"/>
    <n v="1"/>
    <n v="0"/>
    <n v="2926"/>
    <n v="26"/>
    <s v="Unknown"/>
    <x v="0"/>
  </r>
  <r>
    <n v="55"/>
    <x v="0"/>
    <x v="1"/>
    <s v="Ostby, Mr. Engelhart Cornelius"/>
    <x v="0"/>
    <x v="28"/>
    <n v="0"/>
    <n v="1"/>
    <n v="113509"/>
    <n v="61.979199999999999"/>
    <s v="B30"/>
    <x v="1"/>
  </r>
  <r>
    <n v="56"/>
    <x v="1"/>
    <x v="1"/>
    <s v="Woolner, Mr. Hugh"/>
    <x v="0"/>
    <x v="4"/>
    <n v="0"/>
    <n v="0"/>
    <n v="19947"/>
    <n v="35.5"/>
    <s v="C52"/>
    <x v="0"/>
  </r>
  <r>
    <n v="57"/>
    <x v="1"/>
    <x v="2"/>
    <s v="Rugg, Miss. Emily"/>
    <x v="1"/>
    <x v="22"/>
    <n v="0"/>
    <n v="0"/>
    <s v="C.A. 31026"/>
    <n v="10.5"/>
    <s v="Unknown"/>
    <x v="0"/>
  </r>
  <r>
    <n v="58"/>
    <x v="0"/>
    <x v="0"/>
    <s v="Novel, Mr. Mansouer"/>
    <x v="0"/>
    <x v="29"/>
    <n v="0"/>
    <n v="0"/>
    <n v="2697"/>
    <n v="7.2291999999999996"/>
    <s v="Unknown"/>
    <x v="1"/>
  </r>
  <r>
    <n v="59"/>
    <x v="1"/>
    <x v="2"/>
    <s v="West, Miss. Constance Mirium"/>
    <x v="1"/>
    <x v="30"/>
    <n v="1"/>
    <n v="2"/>
    <s v="C.A. 34651"/>
    <n v="27.75"/>
    <s v="Unknown"/>
    <x v="0"/>
  </r>
  <r>
    <n v="60"/>
    <x v="0"/>
    <x v="0"/>
    <s v="Goodwin, Master. William Frederick"/>
    <x v="0"/>
    <x v="31"/>
    <n v="5"/>
    <n v="2"/>
    <s v="CA 2144"/>
    <n v="46.9"/>
    <s v="Unknown"/>
    <x v="0"/>
  </r>
  <r>
    <n v="61"/>
    <x v="0"/>
    <x v="0"/>
    <s v="Sirayanian, Mr. Orsen"/>
    <x v="0"/>
    <x v="0"/>
    <n v="0"/>
    <n v="0"/>
    <n v="2669"/>
    <n v="7.2291999999999996"/>
    <s v="Unknown"/>
    <x v="1"/>
  </r>
  <r>
    <n v="62"/>
    <x v="1"/>
    <x v="1"/>
    <s v="Icard, Miss. Amelie"/>
    <x v="1"/>
    <x v="1"/>
    <n v="0"/>
    <n v="0"/>
    <n v="113572"/>
    <n v="80"/>
    <s v="B28"/>
    <x v="0"/>
  </r>
  <r>
    <n v="63"/>
    <x v="0"/>
    <x v="1"/>
    <s v="Harris, Mr. Henry Birkhardt"/>
    <x v="0"/>
    <x v="32"/>
    <n v="1"/>
    <n v="0"/>
    <n v="36973"/>
    <n v="83.474999999999994"/>
    <s v="C83"/>
    <x v="0"/>
  </r>
  <r>
    <n v="64"/>
    <x v="0"/>
    <x v="0"/>
    <s v="Skoog, Master. Harald"/>
    <x v="0"/>
    <x v="9"/>
    <n v="3"/>
    <n v="2"/>
    <n v="347088"/>
    <n v="27.9"/>
    <s v="Unknown"/>
    <x v="0"/>
  </r>
  <r>
    <n v="65"/>
    <x v="0"/>
    <x v="1"/>
    <s v="Stewart, Mr. Albert A"/>
    <x v="0"/>
    <x v="4"/>
    <n v="0"/>
    <n v="0"/>
    <s v="PC 17605"/>
    <n v="27.720800000000001"/>
    <s v="Unknown"/>
    <x v="1"/>
  </r>
  <r>
    <n v="66"/>
    <x v="1"/>
    <x v="0"/>
    <s v="Moubarek, Master. Gerios"/>
    <x v="0"/>
    <x v="4"/>
    <n v="1"/>
    <n v="1"/>
    <n v="2661"/>
    <n v="15.245799999999999"/>
    <s v="Unknown"/>
    <x v="1"/>
  </r>
  <r>
    <n v="67"/>
    <x v="1"/>
    <x v="2"/>
    <s v="Nye, Mrs. (Elizabeth Ramell)"/>
    <x v="1"/>
    <x v="27"/>
    <n v="0"/>
    <n v="0"/>
    <s v="C.A. 29395"/>
    <n v="10.5"/>
    <s v="F33"/>
    <x v="0"/>
  </r>
  <r>
    <n v="68"/>
    <x v="0"/>
    <x v="0"/>
    <s v="Crease, Mr. Ernest James"/>
    <x v="0"/>
    <x v="18"/>
    <n v="0"/>
    <n v="0"/>
    <s v="S.P. 3464"/>
    <n v="8.1583000000000006"/>
    <s v="Unknown"/>
    <x v="0"/>
  </r>
  <r>
    <n v="69"/>
    <x v="1"/>
    <x v="0"/>
    <s v="Andersson, Miss. Erna Alexandra"/>
    <x v="1"/>
    <x v="33"/>
    <n v="4"/>
    <n v="2"/>
    <n v="3101281"/>
    <n v="7.9249999999999998"/>
    <s v="Unknown"/>
    <x v="0"/>
  </r>
  <r>
    <n v="70"/>
    <x v="0"/>
    <x v="0"/>
    <s v="Kink, Mr. Vincenz"/>
    <x v="0"/>
    <x v="2"/>
    <n v="2"/>
    <n v="0"/>
    <n v="315151"/>
    <n v="8.6624999999999996"/>
    <s v="Unknown"/>
    <x v="0"/>
  </r>
  <r>
    <n v="71"/>
    <x v="0"/>
    <x v="2"/>
    <s v="Jenkin, Mr. Stephen Curnow"/>
    <x v="0"/>
    <x v="34"/>
    <n v="0"/>
    <n v="0"/>
    <s v="C.A. 33111"/>
    <n v="10.5"/>
    <s v="Unknown"/>
    <x v="0"/>
  </r>
  <r>
    <n v="72"/>
    <x v="0"/>
    <x v="0"/>
    <s v="Goodwin, Miss. Lillian Amy"/>
    <x v="1"/>
    <x v="35"/>
    <n v="5"/>
    <n v="2"/>
    <s v="CA 2144"/>
    <n v="46.9"/>
    <s v="Unknown"/>
    <x v="0"/>
  </r>
  <r>
    <n v="73"/>
    <x v="0"/>
    <x v="2"/>
    <s v="Hood, Mr. Ambrose Jr"/>
    <x v="0"/>
    <x v="22"/>
    <n v="0"/>
    <n v="0"/>
    <s v="S.O.C. 14879"/>
    <n v="73.5"/>
    <s v="Unknown"/>
    <x v="0"/>
  </r>
  <r>
    <n v="74"/>
    <x v="0"/>
    <x v="0"/>
    <s v="Chronopoulos, Mr. Apostolos"/>
    <x v="0"/>
    <x v="2"/>
    <n v="1"/>
    <n v="0"/>
    <n v="2680"/>
    <n v="14.4542"/>
    <s v="Unknown"/>
    <x v="1"/>
  </r>
  <r>
    <n v="75"/>
    <x v="1"/>
    <x v="0"/>
    <s v="Bing, Mr. Lee"/>
    <x v="0"/>
    <x v="34"/>
    <n v="0"/>
    <n v="0"/>
    <n v="1601"/>
    <n v="56.495800000000003"/>
    <s v="Unknown"/>
    <x v="0"/>
  </r>
  <r>
    <n v="76"/>
    <x v="0"/>
    <x v="0"/>
    <s v="Moen, Mr. Sigurd Hansen"/>
    <x v="0"/>
    <x v="36"/>
    <n v="0"/>
    <n v="0"/>
    <n v="348123"/>
    <n v="7.65"/>
    <s v="F G73"/>
    <x v="0"/>
  </r>
  <r>
    <n v="77"/>
    <x v="0"/>
    <x v="0"/>
    <s v="Staneff, Mr. Ivan"/>
    <x v="0"/>
    <x v="4"/>
    <n v="0"/>
    <n v="0"/>
    <n v="349208"/>
    <n v="7.8958000000000004"/>
    <s v="Unknown"/>
    <x v="0"/>
  </r>
  <r>
    <n v="78"/>
    <x v="0"/>
    <x v="0"/>
    <s v="Moutal, Mr. Rahamin Haim"/>
    <x v="0"/>
    <x v="4"/>
    <n v="0"/>
    <n v="0"/>
    <n v="374746"/>
    <n v="8.0500000000000007"/>
    <s v="Unknown"/>
    <x v="0"/>
  </r>
  <r>
    <n v="79"/>
    <x v="1"/>
    <x v="2"/>
    <s v="Caldwell, Master. Alden Gates"/>
    <x v="0"/>
    <x v="37"/>
    <n v="0"/>
    <n v="2"/>
    <n v="248738"/>
    <n v="29"/>
    <s v="Unknown"/>
    <x v="0"/>
  </r>
  <r>
    <n v="80"/>
    <x v="1"/>
    <x v="0"/>
    <s v="Dowdell, Miss. Elizabeth"/>
    <x v="1"/>
    <x v="38"/>
    <n v="0"/>
    <n v="0"/>
    <n v="364516"/>
    <n v="12.475"/>
    <s v="Unknown"/>
    <x v="0"/>
  </r>
  <r>
    <n v="81"/>
    <x v="0"/>
    <x v="0"/>
    <s v="Waelens, Mr. Achille"/>
    <x v="0"/>
    <x v="0"/>
    <n v="0"/>
    <n v="0"/>
    <n v="345767"/>
    <n v="9"/>
    <s v="Unknown"/>
    <x v="0"/>
  </r>
  <r>
    <n v="82"/>
    <x v="1"/>
    <x v="0"/>
    <s v="Sheerlinck, Mr. Jan Baptist"/>
    <x v="0"/>
    <x v="27"/>
    <n v="0"/>
    <n v="0"/>
    <n v="345779"/>
    <n v="9.5"/>
    <s v="Unknown"/>
    <x v="0"/>
  </r>
  <r>
    <n v="83"/>
    <x v="1"/>
    <x v="0"/>
    <s v="McDermott, Miss. Brigdet Delia"/>
    <x v="1"/>
    <x v="4"/>
    <n v="0"/>
    <n v="0"/>
    <n v="330932"/>
    <n v="7.7874999999999996"/>
    <s v="Unknown"/>
    <x v="2"/>
  </r>
  <r>
    <n v="84"/>
    <x v="0"/>
    <x v="1"/>
    <s v="Carrau, Mr. Francisco M"/>
    <x v="0"/>
    <x v="4"/>
    <n v="0"/>
    <n v="0"/>
    <n v="113059"/>
    <n v="47.1"/>
    <s v="Unknown"/>
    <x v="0"/>
  </r>
  <r>
    <n v="85"/>
    <x v="1"/>
    <x v="2"/>
    <s v="Ilett, Miss. Bertha"/>
    <x v="1"/>
    <x v="33"/>
    <n v="0"/>
    <n v="0"/>
    <s v="SO/C 14885"/>
    <n v="10.5"/>
    <s v="Unknown"/>
    <x v="0"/>
  </r>
  <r>
    <n v="86"/>
    <x v="1"/>
    <x v="0"/>
    <s v="Backstrom, Mrs. Karl Alfred (Maria Mathilda Gustafsson)"/>
    <x v="1"/>
    <x v="39"/>
    <n v="3"/>
    <n v="0"/>
    <n v="3101278"/>
    <n v="15.85"/>
    <s v="Unknown"/>
    <x v="0"/>
  </r>
  <r>
    <n v="87"/>
    <x v="0"/>
    <x v="0"/>
    <s v="Ford, Mr. William Neal"/>
    <x v="0"/>
    <x v="35"/>
    <n v="1"/>
    <n v="3"/>
    <s v="W./C. 6608"/>
    <n v="34.375"/>
    <s v="Unknown"/>
    <x v="0"/>
  </r>
  <r>
    <n v="88"/>
    <x v="0"/>
    <x v="0"/>
    <s v="Slocovski, Mr. Selman Francis"/>
    <x v="0"/>
    <x v="4"/>
    <n v="0"/>
    <n v="0"/>
    <s v="SOTON/OQ 392086"/>
    <n v="8.0500000000000007"/>
    <s v="Unknown"/>
    <x v="0"/>
  </r>
  <r>
    <n v="89"/>
    <x v="1"/>
    <x v="1"/>
    <s v="Fortune, Miss. Mabel Helen"/>
    <x v="1"/>
    <x v="40"/>
    <n v="3"/>
    <n v="2"/>
    <n v="19950"/>
    <n v="263"/>
    <s v="C23 C25 C27"/>
    <x v="0"/>
  </r>
  <r>
    <n v="90"/>
    <x v="0"/>
    <x v="0"/>
    <s v="Celotti, Mr. Francesco"/>
    <x v="0"/>
    <x v="41"/>
    <n v="0"/>
    <n v="0"/>
    <n v="343275"/>
    <n v="8.0500000000000007"/>
    <s v="Unknown"/>
    <x v="0"/>
  </r>
  <r>
    <n v="91"/>
    <x v="0"/>
    <x v="0"/>
    <s v="Christmann, Mr. Emil"/>
    <x v="0"/>
    <x v="27"/>
    <n v="0"/>
    <n v="0"/>
    <n v="343276"/>
    <n v="8.0500000000000007"/>
    <s v="Unknown"/>
    <x v="0"/>
  </r>
  <r>
    <n v="92"/>
    <x v="0"/>
    <x v="0"/>
    <s v="Andreasson, Mr. Paul Edvin"/>
    <x v="0"/>
    <x v="11"/>
    <n v="0"/>
    <n v="0"/>
    <n v="347466"/>
    <n v="7.8541999999999996"/>
    <s v="Unknown"/>
    <x v="0"/>
  </r>
  <r>
    <n v="93"/>
    <x v="0"/>
    <x v="1"/>
    <s v="Chaffee, Mr. Herbert Fuller"/>
    <x v="0"/>
    <x v="42"/>
    <n v="1"/>
    <n v="0"/>
    <s v="W.E.P. 5734"/>
    <n v="61.174999999999997"/>
    <s v="E31"/>
    <x v="0"/>
  </r>
  <r>
    <n v="94"/>
    <x v="0"/>
    <x v="0"/>
    <s v="Dean, Mr. Bertram Frank"/>
    <x v="0"/>
    <x v="2"/>
    <n v="1"/>
    <n v="2"/>
    <s v="C.A. 2315"/>
    <n v="20.574999999999999"/>
    <s v="Unknown"/>
    <x v="0"/>
  </r>
  <r>
    <n v="95"/>
    <x v="0"/>
    <x v="0"/>
    <s v="Coxon, Mr. Daniel"/>
    <x v="0"/>
    <x v="43"/>
    <n v="0"/>
    <n v="0"/>
    <n v="364500"/>
    <n v="7.25"/>
    <s v="Unknown"/>
    <x v="0"/>
  </r>
  <r>
    <n v="96"/>
    <x v="0"/>
    <x v="0"/>
    <s v="Shorney, Mr. Charles Joseph"/>
    <x v="0"/>
    <x v="4"/>
    <n v="0"/>
    <n v="0"/>
    <n v="374910"/>
    <n v="8.0500000000000007"/>
    <s v="Unknown"/>
    <x v="0"/>
  </r>
  <r>
    <n v="97"/>
    <x v="0"/>
    <x v="1"/>
    <s v="Goldschmidt, Mr. George B"/>
    <x v="0"/>
    <x v="44"/>
    <n v="0"/>
    <n v="0"/>
    <s v="PC 17754"/>
    <n v="34.654200000000003"/>
    <s v="A5"/>
    <x v="1"/>
  </r>
  <r>
    <n v="98"/>
    <x v="1"/>
    <x v="1"/>
    <s v="Greenfield, Mr. William Bertram"/>
    <x v="0"/>
    <x v="40"/>
    <n v="0"/>
    <n v="1"/>
    <s v="PC 17759"/>
    <n v="63.3583"/>
    <s v="D10 D12"/>
    <x v="1"/>
  </r>
  <r>
    <n v="99"/>
    <x v="1"/>
    <x v="2"/>
    <s v="Doling, Mrs. John T (Ada Julia Bone)"/>
    <x v="1"/>
    <x v="15"/>
    <n v="0"/>
    <n v="1"/>
    <n v="231919"/>
    <n v="23"/>
    <s v="Unknown"/>
    <x v="0"/>
  </r>
  <r>
    <n v="100"/>
    <x v="0"/>
    <x v="2"/>
    <s v="Kantor, Mr. Sinai"/>
    <x v="0"/>
    <x v="15"/>
    <n v="1"/>
    <n v="0"/>
    <n v="244367"/>
    <n v="26"/>
    <s v="Unknown"/>
    <x v="0"/>
  </r>
  <r>
    <n v="101"/>
    <x v="0"/>
    <x v="0"/>
    <s v="Petranec, Miss. Matilda"/>
    <x v="1"/>
    <x v="4"/>
    <n v="0"/>
    <n v="0"/>
    <n v="349245"/>
    <n v="7.8958000000000004"/>
    <s v="Unknown"/>
    <x v="0"/>
  </r>
  <r>
    <n v="102"/>
    <x v="0"/>
    <x v="0"/>
    <s v="Petroff, Mr. Pastcho (&quot;Pentcho&quot;)"/>
    <x v="0"/>
    <x v="4"/>
    <n v="0"/>
    <n v="0"/>
    <n v="349215"/>
    <n v="7.8958000000000004"/>
    <s v="Unknown"/>
    <x v="0"/>
  </r>
  <r>
    <n v="103"/>
    <x v="0"/>
    <x v="1"/>
    <s v="White, Mr. Richard Frasar"/>
    <x v="0"/>
    <x v="22"/>
    <n v="0"/>
    <n v="1"/>
    <n v="35281"/>
    <n v="77.287499999999994"/>
    <s v="D26"/>
    <x v="0"/>
  </r>
  <r>
    <n v="104"/>
    <x v="0"/>
    <x v="0"/>
    <s v="Johansson, Mr. Gustaf Joel"/>
    <x v="0"/>
    <x v="39"/>
    <n v="0"/>
    <n v="0"/>
    <n v="7540"/>
    <n v="8.6541999999999994"/>
    <s v="Unknown"/>
    <x v="0"/>
  </r>
  <r>
    <n v="105"/>
    <x v="0"/>
    <x v="0"/>
    <s v="Gustafsson, Mr. Anders Vilhelm"/>
    <x v="0"/>
    <x v="45"/>
    <n v="2"/>
    <n v="0"/>
    <n v="3101276"/>
    <n v="7.9249999999999998"/>
    <s v="Unknown"/>
    <x v="0"/>
  </r>
  <r>
    <n v="106"/>
    <x v="0"/>
    <x v="0"/>
    <s v="Mionoff, Mr. Stoytcho"/>
    <x v="0"/>
    <x v="4"/>
    <n v="0"/>
    <n v="0"/>
    <n v="349207"/>
    <n v="7.8958000000000004"/>
    <s v="Unknown"/>
    <x v="0"/>
  </r>
  <r>
    <n v="107"/>
    <x v="1"/>
    <x v="0"/>
    <s v="Salkjelsvik, Miss. Anna Kristine"/>
    <x v="1"/>
    <x v="22"/>
    <n v="0"/>
    <n v="0"/>
    <n v="343120"/>
    <n v="7.65"/>
    <s v="Unknown"/>
    <x v="0"/>
  </r>
  <r>
    <n v="108"/>
    <x v="1"/>
    <x v="0"/>
    <s v="Moss, Mr. Albert Johan"/>
    <x v="0"/>
    <x v="4"/>
    <n v="0"/>
    <n v="0"/>
    <n v="312991"/>
    <n v="7.7750000000000004"/>
    <s v="Unknown"/>
    <x v="0"/>
  </r>
  <r>
    <n v="109"/>
    <x v="0"/>
    <x v="0"/>
    <s v="Rekic, Mr. Tido"/>
    <x v="0"/>
    <x v="1"/>
    <n v="0"/>
    <n v="0"/>
    <n v="349249"/>
    <n v="7.8958000000000004"/>
    <s v="Unknown"/>
    <x v="0"/>
  </r>
  <r>
    <n v="110"/>
    <x v="1"/>
    <x v="0"/>
    <s v="Moran, Miss. Bertha"/>
    <x v="1"/>
    <x v="4"/>
    <n v="1"/>
    <n v="0"/>
    <n v="371110"/>
    <n v="24.15"/>
    <s v="Unknown"/>
    <x v="2"/>
  </r>
  <r>
    <n v="111"/>
    <x v="0"/>
    <x v="1"/>
    <s v="Porter, Mr. Walter Chamberlain"/>
    <x v="0"/>
    <x v="46"/>
    <n v="0"/>
    <n v="0"/>
    <n v="110465"/>
    <n v="52"/>
    <s v="C110"/>
    <x v="0"/>
  </r>
  <r>
    <n v="112"/>
    <x v="0"/>
    <x v="0"/>
    <s v="Zabour, Miss. Hileni"/>
    <x v="1"/>
    <x v="47"/>
    <n v="1"/>
    <n v="0"/>
    <n v="2665"/>
    <n v="14.4542"/>
    <s v="Unknown"/>
    <x v="1"/>
  </r>
  <r>
    <n v="113"/>
    <x v="0"/>
    <x v="0"/>
    <s v="Barton, Mr. David John"/>
    <x v="0"/>
    <x v="0"/>
    <n v="0"/>
    <n v="0"/>
    <n v="324669"/>
    <n v="8.0500000000000007"/>
    <s v="Unknown"/>
    <x v="0"/>
  </r>
  <r>
    <n v="114"/>
    <x v="0"/>
    <x v="0"/>
    <s v="Jussila, Miss. Katriina"/>
    <x v="1"/>
    <x v="11"/>
    <n v="1"/>
    <n v="0"/>
    <n v="4136"/>
    <n v="9.8249999999999993"/>
    <s v="Unknown"/>
    <x v="0"/>
  </r>
  <r>
    <n v="115"/>
    <x v="0"/>
    <x v="0"/>
    <s v="Attalah, Miss. Malake"/>
    <x v="1"/>
    <x v="33"/>
    <n v="0"/>
    <n v="0"/>
    <n v="2627"/>
    <n v="14.458299999999999"/>
    <s v="Unknown"/>
    <x v="1"/>
  </r>
  <r>
    <n v="116"/>
    <x v="0"/>
    <x v="0"/>
    <s v="Pekoniemi, Mr. Edvard"/>
    <x v="0"/>
    <x v="22"/>
    <n v="0"/>
    <n v="0"/>
    <s v="STON/O 2. 3101294"/>
    <n v="7.9249999999999998"/>
    <s v="Unknown"/>
    <x v="0"/>
  </r>
  <r>
    <n v="117"/>
    <x v="0"/>
    <x v="0"/>
    <s v="Connors, Mr. Patrick"/>
    <x v="0"/>
    <x v="48"/>
    <n v="0"/>
    <n v="0"/>
    <n v="370369"/>
    <n v="7.75"/>
    <s v="Unknown"/>
    <x v="2"/>
  </r>
  <r>
    <n v="118"/>
    <x v="0"/>
    <x v="2"/>
    <s v="Turpin, Mr. William John Robert"/>
    <x v="0"/>
    <x v="27"/>
    <n v="1"/>
    <n v="0"/>
    <n v="11668"/>
    <n v="21"/>
    <s v="Unknown"/>
    <x v="0"/>
  </r>
  <r>
    <n v="119"/>
    <x v="0"/>
    <x v="1"/>
    <s v="Baxter, Mr. Quigg Edmond"/>
    <x v="0"/>
    <x v="41"/>
    <n v="0"/>
    <n v="1"/>
    <s v="PC 17558"/>
    <n v="247.52080000000001"/>
    <s v="B58 B60"/>
    <x v="1"/>
  </r>
  <r>
    <n v="120"/>
    <x v="0"/>
    <x v="0"/>
    <s v="Andersson, Miss. Ellis Anna Maria"/>
    <x v="1"/>
    <x v="6"/>
    <n v="4"/>
    <n v="2"/>
    <n v="347082"/>
    <n v="31.274999999999999"/>
    <s v="Unknown"/>
    <x v="0"/>
  </r>
  <r>
    <n v="121"/>
    <x v="0"/>
    <x v="2"/>
    <s v="Hickman, Mr. Stanley George"/>
    <x v="0"/>
    <x v="22"/>
    <n v="2"/>
    <n v="0"/>
    <s v="S.O.C. 14879"/>
    <n v="73.5"/>
    <s v="Unknown"/>
    <x v="0"/>
  </r>
  <r>
    <n v="122"/>
    <x v="0"/>
    <x v="0"/>
    <s v="Moore, Mr. Leonard Charles"/>
    <x v="0"/>
    <x v="4"/>
    <n v="0"/>
    <n v="0"/>
    <s v="A4. 54510"/>
    <n v="8.0500000000000007"/>
    <s v="Unknown"/>
    <x v="0"/>
  </r>
  <r>
    <n v="123"/>
    <x v="0"/>
    <x v="2"/>
    <s v="Nasser, Mr. Nicholas"/>
    <x v="0"/>
    <x v="49"/>
    <n v="1"/>
    <n v="0"/>
    <n v="237736"/>
    <n v="30.070799999999998"/>
    <s v="Unknown"/>
    <x v="1"/>
  </r>
  <r>
    <n v="124"/>
    <x v="1"/>
    <x v="2"/>
    <s v="Webber, Miss. Susan"/>
    <x v="1"/>
    <x v="49"/>
    <n v="0"/>
    <n v="0"/>
    <n v="27267"/>
    <n v="13"/>
    <s v="E101"/>
    <x v="0"/>
  </r>
  <r>
    <n v="125"/>
    <x v="0"/>
    <x v="1"/>
    <s v="White, Mr. Percival Wayland"/>
    <x v="0"/>
    <x v="5"/>
    <n v="0"/>
    <n v="1"/>
    <n v="35281"/>
    <n v="77.287499999999994"/>
    <s v="D26"/>
    <x v="0"/>
  </r>
  <r>
    <n v="126"/>
    <x v="1"/>
    <x v="0"/>
    <s v="Nicola-Yarred, Master. Elias"/>
    <x v="0"/>
    <x v="50"/>
    <n v="1"/>
    <n v="0"/>
    <n v="2651"/>
    <n v="11.2417"/>
    <s v="Unknown"/>
    <x v="1"/>
  </r>
  <r>
    <n v="127"/>
    <x v="0"/>
    <x v="0"/>
    <s v="McMahon, Mr. Martin"/>
    <x v="0"/>
    <x v="4"/>
    <n v="0"/>
    <n v="0"/>
    <n v="370372"/>
    <n v="7.75"/>
    <s v="Unknown"/>
    <x v="2"/>
  </r>
  <r>
    <n v="128"/>
    <x v="1"/>
    <x v="0"/>
    <s v="Madsen, Mr. Fridtjof Arne"/>
    <x v="0"/>
    <x v="41"/>
    <n v="0"/>
    <n v="0"/>
    <s v="C 17369"/>
    <n v="7.1417000000000002"/>
    <s v="Unknown"/>
    <x v="0"/>
  </r>
  <r>
    <n v="129"/>
    <x v="1"/>
    <x v="0"/>
    <s v="Peter, Miss. Anna"/>
    <x v="1"/>
    <x v="4"/>
    <n v="1"/>
    <n v="1"/>
    <n v="2668"/>
    <n v="22.3583"/>
    <s v="F E69"/>
    <x v="1"/>
  </r>
  <r>
    <n v="130"/>
    <x v="0"/>
    <x v="0"/>
    <s v="Ekstrom, Mr. Johan"/>
    <x v="0"/>
    <x v="32"/>
    <n v="0"/>
    <n v="0"/>
    <n v="347061"/>
    <n v="6.9749999999999996"/>
    <s v="Unknown"/>
    <x v="0"/>
  </r>
  <r>
    <n v="131"/>
    <x v="0"/>
    <x v="0"/>
    <s v="Drazenoic, Mr. Jozef"/>
    <x v="0"/>
    <x v="39"/>
    <n v="0"/>
    <n v="0"/>
    <n v="349241"/>
    <n v="7.8958000000000004"/>
    <s v="Unknown"/>
    <x v="1"/>
  </r>
  <r>
    <n v="132"/>
    <x v="0"/>
    <x v="0"/>
    <s v="Coelho, Mr. Domingos Fernandeo"/>
    <x v="0"/>
    <x v="11"/>
    <n v="0"/>
    <n v="0"/>
    <s v="SOTON/O.Q. 3101307"/>
    <n v="7.05"/>
    <s v="Unknown"/>
    <x v="0"/>
  </r>
  <r>
    <n v="133"/>
    <x v="0"/>
    <x v="0"/>
    <s v="Robins, Mrs. Alexander A (Grace Charity Laury)"/>
    <x v="1"/>
    <x v="46"/>
    <n v="1"/>
    <n v="0"/>
    <s v="A/5. 3337"/>
    <n v="14.5"/>
    <s v="Unknown"/>
    <x v="0"/>
  </r>
  <r>
    <n v="134"/>
    <x v="1"/>
    <x v="2"/>
    <s v="Weisz, Mrs. Leopold (Mathilde Francoise Pede)"/>
    <x v="1"/>
    <x v="27"/>
    <n v="1"/>
    <n v="0"/>
    <n v="228414"/>
    <n v="26"/>
    <s v="Unknown"/>
    <x v="0"/>
  </r>
  <r>
    <n v="135"/>
    <x v="0"/>
    <x v="2"/>
    <s v="Sobey, Mr. Samuel James Hayden"/>
    <x v="0"/>
    <x v="36"/>
    <n v="0"/>
    <n v="0"/>
    <s v="C.A. 29178"/>
    <n v="13"/>
    <s v="Unknown"/>
    <x v="0"/>
  </r>
  <r>
    <n v="136"/>
    <x v="0"/>
    <x v="2"/>
    <s v="Richard, Mr. Emile"/>
    <x v="0"/>
    <x v="40"/>
    <n v="0"/>
    <n v="0"/>
    <s v="SC/PARIS 2133"/>
    <n v="15.0458"/>
    <s v="Unknown"/>
    <x v="1"/>
  </r>
  <r>
    <n v="137"/>
    <x v="1"/>
    <x v="1"/>
    <s v="Newsom, Miss. Helen Monypeny"/>
    <x v="1"/>
    <x v="18"/>
    <n v="0"/>
    <n v="2"/>
    <n v="11752"/>
    <n v="26.283300000000001"/>
    <s v="D47"/>
    <x v="0"/>
  </r>
  <r>
    <n v="138"/>
    <x v="0"/>
    <x v="1"/>
    <s v="Futrelle, Mr. Jacques Heath"/>
    <x v="0"/>
    <x v="45"/>
    <n v="1"/>
    <n v="0"/>
    <n v="113803"/>
    <n v="53.1"/>
    <s v="C123"/>
    <x v="0"/>
  </r>
  <r>
    <n v="139"/>
    <x v="0"/>
    <x v="0"/>
    <s v="Osen, Mr. Olaf Elon"/>
    <x v="0"/>
    <x v="35"/>
    <n v="0"/>
    <n v="0"/>
    <n v="7534"/>
    <n v="9.2166999999999994"/>
    <s v="Unknown"/>
    <x v="0"/>
  </r>
  <r>
    <n v="140"/>
    <x v="0"/>
    <x v="1"/>
    <s v="Giglio, Mr. Victor"/>
    <x v="0"/>
    <x v="41"/>
    <n v="0"/>
    <n v="0"/>
    <s v="PC 17593"/>
    <n v="79.2"/>
    <s v="B86"/>
    <x v="1"/>
  </r>
  <r>
    <n v="141"/>
    <x v="0"/>
    <x v="0"/>
    <s v="Boulos, Mrs. Joseph (Sultana)"/>
    <x v="1"/>
    <x v="4"/>
    <n v="0"/>
    <n v="2"/>
    <n v="2678"/>
    <n v="15.245799999999999"/>
    <s v="Unknown"/>
    <x v="1"/>
  </r>
  <r>
    <n v="142"/>
    <x v="1"/>
    <x v="0"/>
    <s v="Nysten, Miss. Anna Sofia"/>
    <x v="1"/>
    <x v="0"/>
    <n v="0"/>
    <n v="0"/>
    <n v="347081"/>
    <n v="7.75"/>
    <s v="Unknown"/>
    <x v="0"/>
  </r>
  <r>
    <n v="143"/>
    <x v="1"/>
    <x v="0"/>
    <s v="Hakkarainen, Mrs. Pekka Pietari (Elin Matilda Dolck)"/>
    <x v="1"/>
    <x v="41"/>
    <n v="1"/>
    <n v="0"/>
    <s v="STON/O2. 3101279"/>
    <n v="15.85"/>
    <s v="Unknown"/>
    <x v="0"/>
  </r>
  <r>
    <n v="144"/>
    <x v="0"/>
    <x v="0"/>
    <s v="Burke, Mr. Jeremiah"/>
    <x v="0"/>
    <x v="18"/>
    <n v="0"/>
    <n v="0"/>
    <n v="365222"/>
    <n v="6.75"/>
    <s v="Unknown"/>
    <x v="2"/>
  </r>
  <r>
    <n v="145"/>
    <x v="0"/>
    <x v="2"/>
    <s v="Andrew, Mr. Edgardo Samuel"/>
    <x v="0"/>
    <x v="23"/>
    <n v="0"/>
    <n v="0"/>
    <n v="231945"/>
    <n v="11.5"/>
    <s v="Unknown"/>
    <x v="0"/>
  </r>
  <r>
    <n v="146"/>
    <x v="0"/>
    <x v="2"/>
    <s v="Nicholls, Mr. Joseph Charles"/>
    <x v="0"/>
    <x v="18"/>
    <n v="1"/>
    <n v="1"/>
    <s v="C.A. 33112"/>
    <n v="36.75"/>
    <s v="Unknown"/>
    <x v="0"/>
  </r>
  <r>
    <n v="147"/>
    <x v="1"/>
    <x v="0"/>
    <s v="Andersson, Mr. August Edvard (&quot;Wennerstrom&quot;)"/>
    <x v="0"/>
    <x v="7"/>
    <n v="0"/>
    <n v="0"/>
    <n v="350043"/>
    <n v="7.7957999999999998"/>
    <s v="Unknown"/>
    <x v="0"/>
  </r>
  <r>
    <n v="148"/>
    <x v="0"/>
    <x v="0"/>
    <s v="Ford, Miss. Robina Maggie &quot;Ruby&quot;"/>
    <x v="1"/>
    <x v="51"/>
    <n v="2"/>
    <n v="2"/>
    <s v="W./C. 6608"/>
    <n v="34.375"/>
    <s v="Unknown"/>
    <x v="0"/>
  </r>
  <r>
    <n v="149"/>
    <x v="0"/>
    <x v="2"/>
    <s v="Navratil, Mr. Michel (&quot;Louis M Hoffman&quot;)"/>
    <x v="0"/>
    <x v="52"/>
    <n v="0"/>
    <n v="2"/>
    <n v="230080"/>
    <n v="26"/>
    <s v="F2"/>
    <x v="0"/>
  </r>
  <r>
    <n v="150"/>
    <x v="0"/>
    <x v="2"/>
    <s v="Byles, Rev. Thomas Roussel Davids"/>
    <x v="0"/>
    <x v="21"/>
    <n v="0"/>
    <n v="0"/>
    <n v="244310"/>
    <n v="13"/>
    <s v="Unknown"/>
    <x v="0"/>
  </r>
  <r>
    <n v="151"/>
    <x v="0"/>
    <x v="2"/>
    <s v="Bateman, Rev. Robert James"/>
    <x v="0"/>
    <x v="53"/>
    <n v="0"/>
    <n v="0"/>
    <s v="S.O.P. 1166"/>
    <n v="12.525"/>
    <s v="Unknown"/>
    <x v="0"/>
  </r>
  <r>
    <n v="152"/>
    <x v="1"/>
    <x v="1"/>
    <s v="Pears, Mrs. Thomas (Edith Wearne)"/>
    <x v="1"/>
    <x v="0"/>
    <n v="1"/>
    <n v="0"/>
    <n v="113776"/>
    <n v="66.599999999999994"/>
    <s v="C2"/>
    <x v="0"/>
  </r>
  <r>
    <n v="153"/>
    <x v="0"/>
    <x v="0"/>
    <s v="Meo, Mr. Alfonzo"/>
    <x v="0"/>
    <x v="54"/>
    <n v="0"/>
    <n v="0"/>
    <s v="A.5. 11206"/>
    <n v="8.0500000000000007"/>
    <s v="Unknown"/>
    <x v="0"/>
  </r>
  <r>
    <n v="154"/>
    <x v="0"/>
    <x v="0"/>
    <s v="van Billiard, Mr. Austin Blyler"/>
    <x v="0"/>
    <x v="55"/>
    <n v="0"/>
    <n v="2"/>
    <s v="A/5. 851"/>
    <n v="14.5"/>
    <s v="Unknown"/>
    <x v="0"/>
  </r>
  <r>
    <n v="155"/>
    <x v="0"/>
    <x v="0"/>
    <s v="Olsen, Mr. Ole Martin"/>
    <x v="0"/>
    <x v="4"/>
    <n v="0"/>
    <n v="0"/>
    <s v="Fa 265302"/>
    <n v="7.3125"/>
    <s v="Unknown"/>
    <x v="0"/>
  </r>
  <r>
    <n v="156"/>
    <x v="0"/>
    <x v="1"/>
    <s v="Williams, Mr. Charles Duane"/>
    <x v="0"/>
    <x v="53"/>
    <n v="0"/>
    <n v="1"/>
    <s v="PC 17597"/>
    <n v="61.379199999999997"/>
    <s v="Unknown"/>
    <x v="1"/>
  </r>
  <r>
    <n v="157"/>
    <x v="1"/>
    <x v="0"/>
    <s v="Gilnagh, Miss. Katherine &quot;Katie&quot;"/>
    <x v="1"/>
    <x v="35"/>
    <n v="0"/>
    <n v="0"/>
    <n v="35851"/>
    <n v="7.7332999999999998"/>
    <s v="Unknown"/>
    <x v="2"/>
  </r>
  <r>
    <n v="158"/>
    <x v="0"/>
    <x v="0"/>
    <s v="Corn, Mr. Harry"/>
    <x v="0"/>
    <x v="38"/>
    <n v="0"/>
    <n v="0"/>
    <s v="SOTON/OQ 392090"/>
    <n v="8.0500000000000007"/>
    <s v="Unknown"/>
    <x v="0"/>
  </r>
  <r>
    <n v="159"/>
    <x v="0"/>
    <x v="0"/>
    <s v="Smiljanic, Mr. Mile"/>
    <x v="0"/>
    <x v="4"/>
    <n v="0"/>
    <n v="0"/>
    <n v="315037"/>
    <n v="8.6624999999999996"/>
    <s v="Unknown"/>
    <x v="0"/>
  </r>
  <r>
    <n v="160"/>
    <x v="0"/>
    <x v="0"/>
    <s v="Sage, Master. Thomas Henry"/>
    <x v="0"/>
    <x v="4"/>
    <n v="8"/>
    <n v="2"/>
    <s v="CA. 2343"/>
    <n v="69.55"/>
    <s v="Unknown"/>
    <x v="0"/>
  </r>
  <r>
    <n v="161"/>
    <x v="0"/>
    <x v="0"/>
    <s v="Cribb, Mr. John Hatfield"/>
    <x v="0"/>
    <x v="56"/>
    <n v="0"/>
    <n v="1"/>
    <n v="371362"/>
    <n v="16.100000000000001"/>
    <s v="Unknown"/>
    <x v="0"/>
  </r>
  <r>
    <n v="162"/>
    <x v="1"/>
    <x v="2"/>
    <s v="Watt, Mrs. James (Elizabeth &quot;Bessie&quot; Inglis Milne)"/>
    <x v="1"/>
    <x v="19"/>
    <n v="0"/>
    <n v="0"/>
    <s v="C.A. 33595"/>
    <n v="15.75"/>
    <s v="Unknown"/>
    <x v="0"/>
  </r>
  <r>
    <n v="163"/>
    <x v="0"/>
    <x v="0"/>
    <s v="Bengtsson, Mr. John Viktor"/>
    <x v="0"/>
    <x v="2"/>
    <n v="0"/>
    <n v="0"/>
    <n v="347068"/>
    <n v="7.7750000000000004"/>
    <s v="Unknown"/>
    <x v="0"/>
  </r>
  <r>
    <n v="164"/>
    <x v="0"/>
    <x v="0"/>
    <s v="Calic, Mr. Jovo"/>
    <x v="0"/>
    <x v="33"/>
    <n v="0"/>
    <n v="0"/>
    <n v="315093"/>
    <n v="8.6624999999999996"/>
    <s v="Unknown"/>
    <x v="0"/>
  </r>
  <r>
    <n v="165"/>
    <x v="0"/>
    <x v="0"/>
    <s v="Panula, Master. Eino Viljami"/>
    <x v="0"/>
    <x v="57"/>
    <n v="4"/>
    <n v="1"/>
    <n v="3101295"/>
    <n v="39.6875"/>
    <s v="Unknown"/>
    <x v="0"/>
  </r>
  <r>
    <n v="166"/>
    <x v="1"/>
    <x v="0"/>
    <s v="Goldsmith, Master. Frank John William &quot;Frankie&quot;"/>
    <x v="0"/>
    <x v="51"/>
    <n v="0"/>
    <n v="2"/>
    <n v="363291"/>
    <n v="20.524999999999999"/>
    <s v="Unknown"/>
    <x v="0"/>
  </r>
  <r>
    <n v="167"/>
    <x v="1"/>
    <x v="1"/>
    <s v="Chibnall, Mrs. (Edith Martha Bowerman)"/>
    <x v="1"/>
    <x v="4"/>
    <n v="0"/>
    <n v="1"/>
    <n v="113505"/>
    <n v="55"/>
    <s v="E33"/>
    <x v="0"/>
  </r>
  <r>
    <n v="168"/>
    <x v="0"/>
    <x v="0"/>
    <s v="Skoog, Mrs. William (Anna Bernhardina Karlsson)"/>
    <x v="1"/>
    <x v="32"/>
    <n v="1"/>
    <n v="4"/>
    <n v="347088"/>
    <n v="27.9"/>
    <s v="Unknown"/>
    <x v="0"/>
  </r>
  <r>
    <n v="169"/>
    <x v="0"/>
    <x v="1"/>
    <s v="Baumann, Mr. John D"/>
    <x v="0"/>
    <x v="4"/>
    <n v="0"/>
    <n v="0"/>
    <s v="PC 17318"/>
    <n v="25.925000000000001"/>
    <s v="Unknown"/>
    <x v="0"/>
  </r>
  <r>
    <n v="170"/>
    <x v="0"/>
    <x v="0"/>
    <s v="Ling, Mr. Lee"/>
    <x v="0"/>
    <x v="4"/>
    <n v="0"/>
    <n v="0"/>
    <n v="1601"/>
    <n v="56.495800000000003"/>
    <s v="Unknown"/>
    <x v="0"/>
  </r>
  <r>
    <n v="171"/>
    <x v="0"/>
    <x v="1"/>
    <s v="Van der hoef, Mr. Wyckoff"/>
    <x v="0"/>
    <x v="58"/>
    <n v="0"/>
    <n v="0"/>
    <n v="111240"/>
    <n v="33.5"/>
    <s v="B19"/>
    <x v="0"/>
  </r>
  <r>
    <n v="172"/>
    <x v="0"/>
    <x v="0"/>
    <s v="Rice, Master. Arthur"/>
    <x v="0"/>
    <x v="9"/>
    <n v="4"/>
    <n v="1"/>
    <n v="382652"/>
    <n v="29.125"/>
    <s v="Unknown"/>
    <x v="2"/>
  </r>
  <r>
    <n v="173"/>
    <x v="1"/>
    <x v="0"/>
    <s v="Johnson, Miss. Eleanor Ileen"/>
    <x v="1"/>
    <x v="57"/>
    <n v="1"/>
    <n v="1"/>
    <n v="347742"/>
    <n v="11.1333"/>
    <s v="Unknown"/>
    <x v="0"/>
  </r>
  <r>
    <n v="174"/>
    <x v="0"/>
    <x v="0"/>
    <s v="Sivola, Mr. Antti Wilhelm"/>
    <x v="0"/>
    <x v="22"/>
    <n v="0"/>
    <n v="0"/>
    <s v="STON/O 2. 3101280"/>
    <n v="7.9249999999999998"/>
    <s v="Unknown"/>
    <x v="0"/>
  </r>
  <r>
    <n v="175"/>
    <x v="0"/>
    <x v="1"/>
    <s v="Smith, Mr. James Clinch"/>
    <x v="0"/>
    <x v="59"/>
    <n v="0"/>
    <n v="0"/>
    <n v="17764"/>
    <n v="30.695799999999998"/>
    <s v="A7"/>
    <x v="1"/>
  </r>
  <r>
    <n v="176"/>
    <x v="0"/>
    <x v="0"/>
    <s v="Klasen, Mr. Klas Albin"/>
    <x v="0"/>
    <x v="23"/>
    <n v="1"/>
    <n v="1"/>
    <n v="350404"/>
    <n v="7.8541999999999996"/>
    <s v="Unknown"/>
    <x v="0"/>
  </r>
  <r>
    <n v="177"/>
    <x v="0"/>
    <x v="0"/>
    <s v="Lefebre, Master. Henry Forbes"/>
    <x v="0"/>
    <x v="4"/>
    <n v="3"/>
    <n v="1"/>
    <n v="4133"/>
    <n v="25.466699999999999"/>
    <s v="Unknown"/>
    <x v="0"/>
  </r>
  <r>
    <n v="178"/>
    <x v="0"/>
    <x v="1"/>
    <s v="Isham, Miss. Ann Elizabeth"/>
    <x v="1"/>
    <x v="60"/>
    <n v="0"/>
    <n v="0"/>
    <s v="PC 17595"/>
    <n v="28.712499999999999"/>
    <s v="C49"/>
    <x v="1"/>
  </r>
  <r>
    <n v="179"/>
    <x v="0"/>
    <x v="2"/>
    <s v="Hale, Mr. Reginald"/>
    <x v="0"/>
    <x v="38"/>
    <n v="0"/>
    <n v="0"/>
    <n v="250653"/>
    <n v="13"/>
    <s v="Unknown"/>
    <x v="0"/>
  </r>
  <r>
    <n v="180"/>
    <x v="0"/>
    <x v="0"/>
    <s v="Leonard, Mr. Lionel"/>
    <x v="0"/>
    <x v="61"/>
    <n v="0"/>
    <n v="0"/>
    <s v="LINE"/>
    <n v="0"/>
    <s v="Unknown"/>
    <x v="0"/>
  </r>
  <r>
    <n v="181"/>
    <x v="0"/>
    <x v="0"/>
    <s v="Sage, Miss. Constance Gladys"/>
    <x v="1"/>
    <x v="4"/>
    <n v="8"/>
    <n v="2"/>
    <s v="CA. 2343"/>
    <n v="69.55"/>
    <s v="Unknown"/>
    <x v="0"/>
  </r>
  <r>
    <n v="182"/>
    <x v="0"/>
    <x v="2"/>
    <s v="Pernot, Mr. Rene"/>
    <x v="0"/>
    <x v="4"/>
    <n v="0"/>
    <n v="0"/>
    <s v="SC/PARIS 2131"/>
    <n v="15.05"/>
    <s v="Unknown"/>
    <x v="1"/>
  </r>
  <r>
    <n v="183"/>
    <x v="0"/>
    <x v="0"/>
    <s v="Asplund, Master. Clarence Gustaf Hugo"/>
    <x v="0"/>
    <x v="51"/>
    <n v="4"/>
    <n v="2"/>
    <n v="347077"/>
    <n v="31.387499999999999"/>
    <s v="Unknown"/>
    <x v="0"/>
  </r>
  <r>
    <n v="184"/>
    <x v="1"/>
    <x v="2"/>
    <s v="Becker, Master. Richard F"/>
    <x v="0"/>
    <x v="57"/>
    <n v="2"/>
    <n v="1"/>
    <n v="230136"/>
    <n v="39"/>
    <s v="F4"/>
    <x v="0"/>
  </r>
  <r>
    <n v="185"/>
    <x v="1"/>
    <x v="0"/>
    <s v="Kink-Heilmann, Miss. Luise Gretchen"/>
    <x v="1"/>
    <x v="9"/>
    <n v="0"/>
    <n v="2"/>
    <n v="315153"/>
    <n v="22.024999999999999"/>
    <s v="Unknown"/>
    <x v="0"/>
  </r>
  <r>
    <n v="186"/>
    <x v="0"/>
    <x v="1"/>
    <s v="Rood, Mr. Hugh Roscoe"/>
    <x v="0"/>
    <x v="4"/>
    <n v="0"/>
    <n v="0"/>
    <n v="113767"/>
    <n v="50"/>
    <s v="A32"/>
    <x v="0"/>
  </r>
  <r>
    <n v="187"/>
    <x v="1"/>
    <x v="0"/>
    <s v="O'Brien, Mrs. Thomas (Johanna &quot;Hannah&quot; Godfrey)"/>
    <x v="1"/>
    <x v="4"/>
    <n v="1"/>
    <n v="0"/>
    <n v="370365"/>
    <n v="15.5"/>
    <s v="Unknown"/>
    <x v="2"/>
  </r>
  <r>
    <n v="188"/>
    <x v="1"/>
    <x v="1"/>
    <s v="Romaine, Mr. Charles Hallace (&quot;Mr C Rolmane&quot;)"/>
    <x v="0"/>
    <x v="32"/>
    <n v="0"/>
    <n v="0"/>
    <n v="111428"/>
    <n v="26.55"/>
    <s v="Unknown"/>
    <x v="0"/>
  </r>
  <r>
    <n v="189"/>
    <x v="0"/>
    <x v="0"/>
    <s v="Bourke, Mr. John"/>
    <x v="0"/>
    <x v="19"/>
    <n v="1"/>
    <n v="1"/>
    <n v="364849"/>
    <n v="15.5"/>
    <s v="Unknown"/>
    <x v="2"/>
  </r>
  <r>
    <n v="190"/>
    <x v="0"/>
    <x v="0"/>
    <s v="Turcin, Mr. Stjepan"/>
    <x v="0"/>
    <x v="61"/>
    <n v="0"/>
    <n v="0"/>
    <n v="349247"/>
    <n v="7.8958000000000004"/>
    <s v="Unknown"/>
    <x v="0"/>
  </r>
  <r>
    <n v="191"/>
    <x v="1"/>
    <x v="2"/>
    <s v="Pinsky, Mrs. (Rosa)"/>
    <x v="1"/>
    <x v="34"/>
    <n v="0"/>
    <n v="0"/>
    <n v="234604"/>
    <n v="13"/>
    <s v="Unknown"/>
    <x v="0"/>
  </r>
  <r>
    <n v="192"/>
    <x v="0"/>
    <x v="2"/>
    <s v="Carbines, Mr. William"/>
    <x v="0"/>
    <x v="18"/>
    <n v="0"/>
    <n v="0"/>
    <n v="28424"/>
    <n v="13"/>
    <s v="Unknown"/>
    <x v="0"/>
  </r>
  <r>
    <n v="193"/>
    <x v="1"/>
    <x v="0"/>
    <s v="Andersen-Jensen, Miss. Carla Christine Nielsine"/>
    <x v="1"/>
    <x v="18"/>
    <n v="1"/>
    <n v="0"/>
    <n v="350046"/>
    <n v="7.8541999999999996"/>
    <s v="Unknown"/>
    <x v="0"/>
  </r>
  <r>
    <n v="194"/>
    <x v="1"/>
    <x v="2"/>
    <s v="Navratil, Master. Michel M"/>
    <x v="0"/>
    <x v="24"/>
    <n v="1"/>
    <n v="1"/>
    <n v="230080"/>
    <n v="26"/>
    <s v="F2"/>
    <x v="0"/>
  </r>
  <r>
    <n v="195"/>
    <x v="1"/>
    <x v="1"/>
    <s v="Brown, Mrs. James Joseph (Margaret Tobin)"/>
    <x v="1"/>
    <x v="56"/>
    <n v="0"/>
    <n v="0"/>
    <s v="PC 17610"/>
    <n v="27.720800000000001"/>
    <s v="B4"/>
    <x v="1"/>
  </r>
  <r>
    <n v="196"/>
    <x v="1"/>
    <x v="1"/>
    <s v="Lurette, Miss. Elise"/>
    <x v="1"/>
    <x v="10"/>
    <n v="0"/>
    <n v="0"/>
    <s v="PC 17569"/>
    <n v="146.52080000000001"/>
    <s v="B80"/>
    <x v="1"/>
  </r>
  <r>
    <n v="197"/>
    <x v="0"/>
    <x v="0"/>
    <s v="Mernagh, Mr. Robert"/>
    <x v="0"/>
    <x v="4"/>
    <n v="0"/>
    <n v="0"/>
    <n v="368703"/>
    <n v="7.75"/>
    <s v="Unknown"/>
    <x v="2"/>
  </r>
  <r>
    <n v="198"/>
    <x v="0"/>
    <x v="0"/>
    <s v="Olsen, Mr. Karl Siegwart Andreas"/>
    <x v="0"/>
    <x v="21"/>
    <n v="0"/>
    <n v="1"/>
    <n v="4579"/>
    <n v="8.4041999999999994"/>
    <s v="Unknown"/>
    <x v="0"/>
  </r>
  <r>
    <n v="199"/>
    <x v="1"/>
    <x v="0"/>
    <s v="Madigan, Miss. Margaret &quot;Maggie&quot;"/>
    <x v="1"/>
    <x v="4"/>
    <n v="0"/>
    <n v="0"/>
    <n v="370370"/>
    <n v="7.75"/>
    <s v="Unknown"/>
    <x v="2"/>
  </r>
  <r>
    <n v="200"/>
    <x v="0"/>
    <x v="2"/>
    <s v="Yrois, Miss. Henriette (&quot;Mrs Harbeck&quot;)"/>
    <x v="1"/>
    <x v="41"/>
    <n v="0"/>
    <n v="0"/>
    <n v="248747"/>
    <n v="13"/>
    <s v="Unknown"/>
    <x v="0"/>
  </r>
  <r>
    <n v="201"/>
    <x v="0"/>
    <x v="0"/>
    <s v="Vande Walle, Mr. Nestor Cyriel"/>
    <x v="0"/>
    <x v="4"/>
    <n v="0"/>
    <n v="0"/>
    <n v="345770"/>
    <n v="9.5"/>
    <s v="Unknown"/>
    <x v="0"/>
  </r>
  <r>
    <n v="202"/>
    <x v="0"/>
    <x v="0"/>
    <s v="Sage, Mr. Frederick"/>
    <x v="0"/>
    <x v="4"/>
    <n v="8"/>
    <n v="2"/>
    <s v="CA. 2343"/>
    <n v="69.55"/>
    <s v="Unknown"/>
    <x v="0"/>
  </r>
  <r>
    <n v="203"/>
    <x v="0"/>
    <x v="0"/>
    <s v="Johanson, Mr. Jakob Alfred"/>
    <x v="0"/>
    <x v="15"/>
    <n v="0"/>
    <n v="0"/>
    <n v="3101264"/>
    <n v="6.4958"/>
    <s v="Unknown"/>
    <x v="0"/>
  </r>
  <r>
    <n v="204"/>
    <x v="0"/>
    <x v="0"/>
    <s v="Youseff, Mr. Gerious"/>
    <x v="0"/>
    <x v="62"/>
    <n v="0"/>
    <n v="0"/>
    <n v="2628"/>
    <n v="7.2249999999999996"/>
    <s v="Unknown"/>
    <x v="1"/>
  </r>
  <r>
    <n v="205"/>
    <x v="1"/>
    <x v="0"/>
    <s v="Cohen, Mr. Gurshon &quot;Gus&quot;"/>
    <x v="0"/>
    <x v="23"/>
    <n v="0"/>
    <n v="0"/>
    <s v="A/5 3540"/>
    <n v="8.0500000000000007"/>
    <s v="Unknown"/>
    <x v="0"/>
  </r>
  <r>
    <n v="206"/>
    <x v="0"/>
    <x v="0"/>
    <s v="Strom, Miss. Telma Matilda"/>
    <x v="1"/>
    <x v="6"/>
    <n v="0"/>
    <n v="1"/>
    <n v="347054"/>
    <n v="10.4625"/>
    <s v="G6"/>
    <x v="0"/>
  </r>
  <r>
    <n v="207"/>
    <x v="0"/>
    <x v="0"/>
    <s v="Backstrom, Mr. Karl Alfred"/>
    <x v="0"/>
    <x v="34"/>
    <n v="1"/>
    <n v="0"/>
    <n v="3101278"/>
    <n v="15.85"/>
    <s v="Unknown"/>
    <x v="0"/>
  </r>
  <r>
    <n v="208"/>
    <x v="1"/>
    <x v="0"/>
    <s v="Albimona, Mr. Nassef Cassem"/>
    <x v="0"/>
    <x v="2"/>
    <n v="0"/>
    <n v="0"/>
    <n v="2699"/>
    <n v="18.787500000000001"/>
    <s v="Unknown"/>
    <x v="1"/>
  </r>
  <r>
    <n v="209"/>
    <x v="1"/>
    <x v="0"/>
    <s v="Carr, Miss. Helen &quot;Ellen&quot;"/>
    <x v="1"/>
    <x v="35"/>
    <n v="0"/>
    <n v="0"/>
    <n v="367231"/>
    <n v="7.75"/>
    <s v="Unknown"/>
    <x v="2"/>
  </r>
  <r>
    <n v="210"/>
    <x v="1"/>
    <x v="1"/>
    <s v="Blank, Mr. Henry"/>
    <x v="0"/>
    <x v="19"/>
    <n v="0"/>
    <n v="0"/>
    <n v="112277"/>
    <n v="31"/>
    <s v="A31"/>
    <x v="1"/>
  </r>
  <r>
    <n v="211"/>
    <x v="0"/>
    <x v="0"/>
    <s v="Ali, Mr. Ahmed"/>
    <x v="0"/>
    <x v="41"/>
    <n v="0"/>
    <n v="0"/>
    <s v="SOTON/O.Q. 3101311"/>
    <n v="7.05"/>
    <s v="Unknown"/>
    <x v="0"/>
  </r>
  <r>
    <n v="212"/>
    <x v="1"/>
    <x v="2"/>
    <s v="Cameron, Miss. Clear Annie"/>
    <x v="1"/>
    <x v="3"/>
    <n v="0"/>
    <n v="0"/>
    <s v="F.C.C. 13528"/>
    <n v="21"/>
    <s v="Unknown"/>
    <x v="0"/>
  </r>
  <r>
    <n v="213"/>
    <x v="0"/>
    <x v="0"/>
    <s v="Perkin, Mr. John Henry"/>
    <x v="0"/>
    <x v="0"/>
    <n v="0"/>
    <n v="0"/>
    <s v="A/5 21174"/>
    <n v="7.25"/>
    <s v="Unknown"/>
    <x v="0"/>
  </r>
  <r>
    <n v="214"/>
    <x v="0"/>
    <x v="2"/>
    <s v="Givard, Mr. Hans Kristensen"/>
    <x v="0"/>
    <x v="38"/>
    <n v="0"/>
    <n v="0"/>
    <n v="250646"/>
    <n v="13"/>
    <s v="Unknown"/>
    <x v="0"/>
  </r>
  <r>
    <n v="215"/>
    <x v="0"/>
    <x v="0"/>
    <s v="Kiernan, Mr. Philip"/>
    <x v="0"/>
    <x v="4"/>
    <n v="1"/>
    <n v="0"/>
    <n v="367229"/>
    <n v="7.75"/>
    <s v="Unknown"/>
    <x v="2"/>
  </r>
  <r>
    <n v="216"/>
    <x v="1"/>
    <x v="1"/>
    <s v="Newell, Miss. Madeleine"/>
    <x v="1"/>
    <x v="14"/>
    <n v="1"/>
    <n v="0"/>
    <n v="35273"/>
    <n v="113.27500000000001"/>
    <s v="D36"/>
    <x v="1"/>
  </r>
  <r>
    <n v="217"/>
    <x v="1"/>
    <x v="0"/>
    <s v="Honkanen, Miss. Eliina"/>
    <x v="1"/>
    <x v="7"/>
    <n v="0"/>
    <n v="0"/>
    <s v="STON/O2. 3101283"/>
    <n v="7.9249999999999998"/>
    <s v="Unknown"/>
    <x v="0"/>
  </r>
  <r>
    <n v="218"/>
    <x v="0"/>
    <x v="2"/>
    <s v="Jacobsohn, Mr. Sidney Samuel"/>
    <x v="0"/>
    <x v="21"/>
    <n v="1"/>
    <n v="0"/>
    <n v="243847"/>
    <n v="27"/>
    <s v="Unknown"/>
    <x v="0"/>
  </r>
  <r>
    <n v="219"/>
    <x v="1"/>
    <x v="1"/>
    <s v="Bazzani, Miss. Albina"/>
    <x v="1"/>
    <x v="34"/>
    <n v="0"/>
    <n v="0"/>
    <n v="11813"/>
    <n v="76.291700000000006"/>
    <s v="D15"/>
    <x v="1"/>
  </r>
  <r>
    <n v="220"/>
    <x v="0"/>
    <x v="2"/>
    <s v="Harris, Mr. Walter"/>
    <x v="0"/>
    <x v="38"/>
    <n v="0"/>
    <n v="0"/>
    <s v="W/C 14208"/>
    <n v="10.5"/>
    <s v="Unknown"/>
    <x v="0"/>
  </r>
  <r>
    <n v="221"/>
    <x v="1"/>
    <x v="0"/>
    <s v="Sunderland, Mr. Victor Francis"/>
    <x v="0"/>
    <x v="35"/>
    <n v="0"/>
    <n v="0"/>
    <s v="SOTON/OQ 392089"/>
    <n v="8.0500000000000007"/>
    <s v="Unknown"/>
    <x v="0"/>
  </r>
  <r>
    <n v="222"/>
    <x v="0"/>
    <x v="2"/>
    <s v="Bracken, Mr. James H"/>
    <x v="0"/>
    <x v="7"/>
    <n v="0"/>
    <n v="0"/>
    <n v="220367"/>
    <n v="13"/>
    <s v="Unknown"/>
    <x v="0"/>
  </r>
  <r>
    <n v="223"/>
    <x v="0"/>
    <x v="0"/>
    <s v="Green, Mr. George Henry"/>
    <x v="0"/>
    <x v="53"/>
    <n v="0"/>
    <n v="0"/>
    <n v="21440"/>
    <n v="8.0500000000000007"/>
    <s v="Unknown"/>
    <x v="0"/>
  </r>
  <r>
    <n v="224"/>
    <x v="0"/>
    <x v="0"/>
    <s v="Nenkoff, Mr. Christo"/>
    <x v="0"/>
    <x v="4"/>
    <n v="0"/>
    <n v="0"/>
    <n v="349234"/>
    <n v="7.8958000000000004"/>
    <s v="Unknown"/>
    <x v="0"/>
  </r>
  <r>
    <n v="225"/>
    <x v="1"/>
    <x v="1"/>
    <s v="Hoyt, Mr. Frederick Maxfield"/>
    <x v="0"/>
    <x v="1"/>
    <n v="1"/>
    <n v="0"/>
    <n v="19943"/>
    <n v="90"/>
    <s v="C93"/>
    <x v="0"/>
  </r>
  <r>
    <n v="226"/>
    <x v="0"/>
    <x v="0"/>
    <s v="Berglund, Mr. Karl Ivar Sven"/>
    <x v="0"/>
    <x v="0"/>
    <n v="0"/>
    <n v="0"/>
    <s v="PP 4348"/>
    <n v="9.35"/>
    <s v="Unknown"/>
    <x v="0"/>
  </r>
  <r>
    <n v="227"/>
    <x v="1"/>
    <x v="2"/>
    <s v="Mellors, Mr. William John"/>
    <x v="0"/>
    <x v="18"/>
    <n v="0"/>
    <n v="0"/>
    <s v="SW/PP 751"/>
    <n v="10.5"/>
    <s v="Unknown"/>
    <x v="0"/>
  </r>
  <r>
    <n v="228"/>
    <x v="0"/>
    <x v="0"/>
    <s v="Lovell, Mr. John Hall (&quot;Henry&quot;)"/>
    <x v="0"/>
    <x v="63"/>
    <n v="0"/>
    <n v="0"/>
    <s v="A/5 21173"/>
    <n v="7.25"/>
    <s v="Unknown"/>
    <x v="0"/>
  </r>
  <r>
    <n v="229"/>
    <x v="0"/>
    <x v="2"/>
    <s v="Fahlstrom, Mr. Arne Jonas"/>
    <x v="0"/>
    <x v="23"/>
    <n v="0"/>
    <n v="0"/>
    <n v="236171"/>
    <n v="13"/>
    <s v="Unknown"/>
    <x v="0"/>
  </r>
  <r>
    <n v="230"/>
    <x v="0"/>
    <x v="0"/>
    <s v="Lefebre, Miss. Mathilde"/>
    <x v="1"/>
    <x v="4"/>
    <n v="3"/>
    <n v="1"/>
    <n v="4133"/>
    <n v="25.466699999999999"/>
    <s v="Unknown"/>
    <x v="0"/>
  </r>
  <r>
    <n v="231"/>
    <x v="1"/>
    <x v="1"/>
    <s v="Harris, Mrs. Henry Birkhardt (Irene Wallach)"/>
    <x v="1"/>
    <x v="3"/>
    <n v="1"/>
    <n v="0"/>
    <n v="36973"/>
    <n v="83.474999999999994"/>
    <s v="C83"/>
    <x v="0"/>
  </r>
  <r>
    <n v="232"/>
    <x v="0"/>
    <x v="0"/>
    <s v="Larsson, Mr. Bengt Edvin"/>
    <x v="0"/>
    <x v="27"/>
    <n v="0"/>
    <n v="0"/>
    <n v="347067"/>
    <n v="7.7750000000000004"/>
    <s v="Unknown"/>
    <x v="0"/>
  </r>
  <r>
    <n v="233"/>
    <x v="0"/>
    <x v="2"/>
    <s v="Sjostedt, Mr. Ernst Adolf"/>
    <x v="0"/>
    <x v="43"/>
    <n v="0"/>
    <n v="0"/>
    <n v="237442"/>
    <n v="13.5"/>
    <s v="Unknown"/>
    <x v="0"/>
  </r>
  <r>
    <n v="234"/>
    <x v="1"/>
    <x v="0"/>
    <s v="Asplund, Miss. Lillian Gertrud"/>
    <x v="1"/>
    <x v="30"/>
    <n v="4"/>
    <n v="2"/>
    <n v="347077"/>
    <n v="31.387499999999999"/>
    <s v="Unknown"/>
    <x v="0"/>
  </r>
  <r>
    <n v="235"/>
    <x v="0"/>
    <x v="2"/>
    <s v="Leyson, Mr. Robert William Norman"/>
    <x v="0"/>
    <x v="41"/>
    <n v="0"/>
    <n v="0"/>
    <s v="C.A. 29566"/>
    <n v="10.5"/>
    <s v="Unknown"/>
    <x v="0"/>
  </r>
  <r>
    <n v="236"/>
    <x v="0"/>
    <x v="0"/>
    <s v="Harknett, Miss. Alice Phoebe"/>
    <x v="1"/>
    <x v="4"/>
    <n v="0"/>
    <n v="0"/>
    <s v="W./C. 6609"/>
    <n v="7.55"/>
    <s v="Unknown"/>
    <x v="0"/>
  </r>
  <r>
    <n v="237"/>
    <x v="0"/>
    <x v="2"/>
    <s v="Hold, Mr. Stephen"/>
    <x v="0"/>
    <x v="56"/>
    <n v="1"/>
    <n v="0"/>
    <n v="26707"/>
    <n v="26"/>
    <s v="Unknown"/>
    <x v="0"/>
  </r>
  <r>
    <n v="238"/>
    <x v="1"/>
    <x v="2"/>
    <s v="Collyer, Miss. Marjorie &quot;Lottie&quot;"/>
    <x v="1"/>
    <x v="17"/>
    <n v="0"/>
    <n v="2"/>
    <s v="C.A. 31921"/>
    <n v="26.25"/>
    <s v="Unknown"/>
    <x v="0"/>
  </r>
  <r>
    <n v="239"/>
    <x v="0"/>
    <x v="2"/>
    <s v="Pengelly, Mr. Frederick William"/>
    <x v="0"/>
    <x v="18"/>
    <n v="0"/>
    <n v="0"/>
    <n v="28665"/>
    <n v="10.5"/>
    <s v="Unknown"/>
    <x v="0"/>
  </r>
  <r>
    <n v="240"/>
    <x v="0"/>
    <x v="2"/>
    <s v="Hunt, Mr. George Henry"/>
    <x v="0"/>
    <x v="39"/>
    <n v="0"/>
    <n v="0"/>
    <s v="SCO/W 1585"/>
    <n v="12.275"/>
    <s v="Unknown"/>
    <x v="0"/>
  </r>
  <r>
    <n v="241"/>
    <x v="0"/>
    <x v="0"/>
    <s v="Zabour, Miss. Thamine"/>
    <x v="1"/>
    <x v="4"/>
    <n v="1"/>
    <n v="0"/>
    <n v="2665"/>
    <n v="14.4542"/>
    <s v="Unknown"/>
    <x v="1"/>
  </r>
  <r>
    <n v="242"/>
    <x v="1"/>
    <x v="0"/>
    <s v="Murphy, Miss. Katherine &quot;Kate&quot;"/>
    <x v="1"/>
    <x v="4"/>
    <n v="1"/>
    <n v="0"/>
    <n v="367230"/>
    <n v="15.5"/>
    <s v="Unknown"/>
    <x v="2"/>
  </r>
  <r>
    <n v="243"/>
    <x v="0"/>
    <x v="2"/>
    <s v="Coleridge, Mr. Reginald Charles"/>
    <x v="0"/>
    <x v="27"/>
    <n v="0"/>
    <n v="0"/>
    <s v="W./C. 14263"/>
    <n v="10.5"/>
    <s v="Unknown"/>
    <x v="0"/>
  </r>
  <r>
    <n v="244"/>
    <x v="0"/>
    <x v="0"/>
    <s v="Maenpaa, Mr. Matti Alexanteri"/>
    <x v="0"/>
    <x v="0"/>
    <n v="0"/>
    <n v="0"/>
    <s v="STON/O 2. 3101275"/>
    <n v="7.125"/>
    <s v="Unknown"/>
    <x v="0"/>
  </r>
  <r>
    <n v="245"/>
    <x v="0"/>
    <x v="0"/>
    <s v="Attalah, Mr. Sleiman"/>
    <x v="0"/>
    <x v="38"/>
    <n v="0"/>
    <n v="0"/>
    <n v="2694"/>
    <n v="7.2249999999999996"/>
    <s v="Unknown"/>
    <x v="1"/>
  </r>
  <r>
    <n v="246"/>
    <x v="0"/>
    <x v="1"/>
    <s v="Minahan, Dr. William Edward"/>
    <x v="0"/>
    <x v="56"/>
    <n v="2"/>
    <n v="0"/>
    <n v="19928"/>
    <n v="90"/>
    <s v="C78"/>
    <x v="2"/>
  </r>
  <r>
    <n v="247"/>
    <x v="0"/>
    <x v="0"/>
    <s v="Lindahl, Miss. Agda Thorilda Viktoria"/>
    <x v="1"/>
    <x v="36"/>
    <n v="0"/>
    <n v="0"/>
    <n v="347071"/>
    <n v="7.7750000000000004"/>
    <s v="Unknown"/>
    <x v="0"/>
  </r>
  <r>
    <n v="248"/>
    <x v="1"/>
    <x v="2"/>
    <s v="Hamalainen, Mrs. William (Anna)"/>
    <x v="1"/>
    <x v="41"/>
    <n v="0"/>
    <n v="2"/>
    <n v="250649"/>
    <n v="14.5"/>
    <s v="Unknown"/>
    <x v="0"/>
  </r>
  <r>
    <n v="249"/>
    <x v="1"/>
    <x v="1"/>
    <s v="Beckwith, Mr. Richard Leonard"/>
    <x v="0"/>
    <x v="45"/>
    <n v="1"/>
    <n v="1"/>
    <n v="11751"/>
    <n v="52.554200000000002"/>
    <s v="D35"/>
    <x v="0"/>
  </r>
  <r>
    <n v="250"/>
    <x v="0"/>
    <x v="2"/>
    <s v="Carter, Rev. Ernest Courtenay"/>
    <x v="0"/>
    <x v="5"/>
    <n v="1"/>
    <n v="0"/>
    <n v="244252"/>
    <n v="26"/>
    <s v="Unknown"/>
    <x v="0"/>
  </r>
  <r>
    <n v="251"/>
    <x v="0"/>
    <x v="0"/>
    <s v="Reed, Mr. James George"/>
    <x v="0"/>
    <x v="4"/>
    <n v="0"/>
    <n v="0"/>
    <n v="362316"/>
    <n v="7.25"/>
    <s v="Unknown"/>
    <x v="0"/>
  </r>
  <r>
    <n v="252"/>
    <x v="0"/>
    <x v="0"/>
    <s v="Strom, Mrs. Wilhelm (Elna Matilda Persson)"/>
    <x v="1"/>
    <x v="27"/>
    <n v="1"/>
    <n v="1"/>
    <n v="347054"/>
    <n v="10.4625"/>
    <s v="G6"/>
    <x v="0"/>
  </r>
  <r>
    <n v="253"/>
    <x v="0"/>
    <x v="1"/>
    <s v="Stead, Mr. William Thomas"/>
    <x v="0"/>
    <x v="64"/>
    <n v="0"/>
    <n v="0"/>
    <n v="113514"/>
    <n v="26.55"/>
    <s v="C87"/>
    <x v="0"/>
  </r>
  <r>
    <n v="254"/>
    <x v="0"/>
    <x v="0"/>
    <s v="Lobb, Mr. William Arthur"/>
    <x v="0"/>
    <x v="38"/>
    <n v="1"/>
    <n v="0"/>
    <s v="A/5. 3336"/>
    <n v="16.100000000000001"/>
    <s v="Unknown"/>
    <x v="0"/>
  </r>
  <r>
    <n v="255"/>
    <x v="0"/>
    <x v="0"/>
    <s v="Rosblom, Mrs. Viktor (Helena Wilhelmina)"/>
    <x v="1"/>
    <x v="65"/>
    <n v="0"/>
    <n v="2"/>
    <n v="370129"/>
    <n v="20.212499999999999"/>
    <s v="Unknown"/>
    <x v="0"/>
  </r>
  <r>
    <n v="256"/>
    <x v="1"/>
    <x v="0"/>
    <s v="Touma, Mrs. Darwis (Hanne Youssef Razi)"/>
    <x v="1"/>
    <x v="27"/>
    <n v="0"/>
    <n v="2"/>
    <n v="2650"/>
    <n v="15.245799999999999"/>
    <s v="Unknown"/>
    <x v="1"/>
  </r>
  <r>
    <n v="257"/>
    <x v="1"/>
    <x v="1"/>
    <s v="Thorne, Mrs. Gertrude Maybelle"/>
    <x v="1"/>
    <x v="4"/>
    <n v="0"/>
    <n v="0"/>
    <s v="PC 17585"/>
    <n v="79.2"/>
    <s v="Unknown"/>
    <x v="1"/>
  </r>
  <r>
    <n v="258"/>
    <x v="1"/>
    <x v="1"/>
    <s v="Cherry, Miss. Gladys"/>
    <x v="1"/>
    <x v="38"/>
    <n v="0"/>
    <n v="0"/>
    <n v="110152"/>
    <n v="86.5"/>
    <s v="B77"/>
    <x v="0"/>
  </r>
  <r>
    <n v="259"/>
    <x v="1"/>
    <x v="1"/>
    <s v="Ward, Miss. Anna"/>
    <x v="1"/>
    <x v="3"/>
    <n v="0"/>
    <n v="0"/>
    <s v="PC 17755"/>
    <n v="512.32920000000001"/>
    <s v="Unknown"/>
    <x v="1"/>
  </r>
  <r>
    <n v="260"/>
    <x v="1"/>
    <x v="2"/>
    <s v="Parrish, Mrs. (Lutie Davis)"/>
    <x v="1"/>
    <x v="60"/>
    <n v="0"/>
    <n v="1"/>
    <n v="230433"/>
    <n v="26"/>
    <s v="Unknown"/>
    <x v="0"/>
  </r>
  <r>
    <n v="261"/>
    <x v="0"/>
    <x v="0"/>
    <s v="Smith, Mr. Thomas"/>
    <x v="0"/>
    <x v="4"/>
    <n v="0"/>
    <n v="0"/>
    <n v="384461"/>
    <n v="7.75"/>
    <s v="Unknown"/>
    <x v="2"/>
  </r>
  <r>
    <n v="262"/>
    <x v="1"/>
    <x v="0"/>
    <s v="Asplund, Master. Edvin Rojj Felix"/>
    <x v="0"/>
    <x v="24"/>
    <n v="4"/>
    <n v="2"/>
    <n v="347077"/>
    <n v="31.387499999999999"/>
    <s v="Unknown"/>
    <x v="0"/>
  </r>
  <r>
    <n v="263"/>
    <x v="0"/>
    <x v="1"/>
    <s v="Taussig, Mr. Emil"/>
    <x v="0"/>
    <x v="66"/>
    <n v="1"/>
    <n v="1"/>
    <n v="110413"/>
    <n v="79.650000000000006"/>
    <s v="E67"/>
    <x v="0"/>
  </r>
  <r>
    <n v="264"/>
    <x v="0"/>
    <x v="1"/>
    <s v="Harrison, Mr. William"/>
    <x v="0"/>
    <x v="19"/>
    <n v="0"/>
    <n v="0"/>
    <n v="112059"/>
    <n v="0"/>
    <s v="B94"/>
    <x v="0"/>
  </r>
  <r>
    <n v="265"/>
    <x v="0"/>
    <x v="0"/>
    <s v="Henry, Miss. Delia"/>
    <x v="1"/>
    <x v="4"/>
    <n v="0"/>
    <n v="0"/>
    <n v="382649"/>
    <n v="7.75"/>
    <s v="Unknown"/>
    <x v="2"/>
  </r>
  <r>
    <n v="266"/>
    <x v="0"/>
    <x v="2"/>
    <s v="Reeves, Mr. David"/>
    <x v="0"/>
    <x v="61"/>
    <n v="0"/>
    <n v="0"/>
    <s v="C.A. 17248"/>
    <n v="10.5"/>
    <s v="Unknown"/>
    <x v="0"/>
  </r>
  <r>
    <n v="267"/>
    <x v="0"/>
    <x v="0"/>
    <s v="Panula, Mr. Ernesti Arvid"/>
    <x v="0"/>
    <x v="35"/>
    <n v="4"/>
    <n v="1"/>
    <n v="3101295"/>
    <n v="39.6875"/>
    <s v="Unknown"/>
    <x v="0"/>
  </r>
  <r>
    <n v="268"/>
    <x v="1"/>
    <x v="0"/>
    <s v="Persson, Mr. Ernst Ulrik"/>
    <x v="0"/>
    <x v="36"/>
    <n v="1"/>
    <n v="0"/>
    <n v="347083"/>
    <n v="7.7750000000000004"/>
    <s v="Unknown"/>
    <x v="0"/>
  </r>
  <r>
    <n v="269"/>
    <x v="1"/>
    <x v="1"/>
    <s v="Graham, Mrs. William Thompson (Edith Junkins)"/>
    <x v="1"/>
    <x v="10"/>
    <n v="0"/>
    <n v="1"/>
    <s v="PC 17582"/>
    <n v="153.46250000000001"/>
    <s v="C125"/>
    <x v="0"/>
  </r>
  <r>
    <n v="270"/>
    <x v="1"/>
    <x v="1"/>
    <s v="Bissette, Miss. Amelia"/>
    <x v="1"/>
    <x v="3"/>
    <n v="0"/>
    <n v="0"/>
    <s v="PC 17760"/>
    <n v="135.63329999999999"/>
    <s v="C99"/>
    <x v="0"/>
  </r>
  <r>
    <n v="271"/>
    <x v="0"/>
    <x v="1"/>
    <s v="Cairns, Mr. Alexander"/>
    <x v="0"/>
    <x v="4"/>
    <n v="0"/>
    <n v="0"/>
    <n v="113798"/>
    <n v="31"/>
    <s v="Unknown"/>
    <x v="0"/>
  </r>
  <r>
    <n v="272"/>
    <x v="1"/>
    <x v="0"/>
    <s v="Tornquist, Mr. William Henry"/>
    <x v="0"/>
    <x v="36"/>
    <n v="0"/>
    <n v="0"/>
    <s v="LINE"/>
    <n v="0"/>
    <s v="Unknown"/>
    <x v="0"/>
  </r>
  <r>
    <n v="273"/>
    <x v="1"/>
    <x v="2"/>
    <s v="Mellinger, Mrs. (Elizabeth Anne Maidment)"/>
    <x v="1"/>
    <x v="65"/>
    <n v="0"/>
    <n v="1"/>
    <n v="250644"/>
    <n v="19.5"/>
    <s v="Unknown"/>
    <x v="0"/>
  </r>
  <r>
    <n v="274"/>
    <x v="0"/>
    <x v="1"/>
    <s v="Natsch, Mr. Charles H"/>
    <x v="0"/>
    <x v="45"/>
    <n v="0"/>
    <n v="1"/>
    <s v="PC 17596"/>
    <n v="29.7"/>
    <s v="C118"/>
    <x v="1"/>
  </r>
  <r>
    <n v="275"/>
    <x v="1"/>
    <x v="0"/>
    <s v="Healy, Miss. Hanora &quot;Nora&quot;"/>
    <x v="1"/>
    <x v="4"/>
    <n v="0"/>
    <n v="0"/>
    <n v="370375"/>
    <n v="7.75"/>
    <s v="Unknown"/>
    <x v="2"/>
  </r>
  <r>
    <n v="276"/>
    <x v="1"/>
    <x v="1"/>
    <s v="Andrews, Miss. Kornelia Theodosia"/>
    <x v="1"/>
    <x v="67"/>
    <n v="1"/>
    <n v="0"/>
    <n v="13502"/>
    <n v="77.958299999999994"/>
    <s v="D7"/>
    <x v="0"/>
  </r>
  <r>
    <n v="277"/>
    <x v="0"/>
    <x v="0"/>
    <s v="Lindblom, Miss. Augusta Charlotta"/>
    <x v="1"/>
    <x v="32"/>
    <n v="0"/>
    <n v="0"/>
    <n v="347073"/>
    <n v="7.75"/>
    <s v="Unknown"/>
    <x v="0"/>
  </r>
  <r>
    <n v="278"/>
    <x v="0"/>
    <x v="2"/>
    <s v="Parkes, Mr. Francis &quot;Frank&quot;"/>
    <x v="0"/>
    <x v="4"/>
    <n v="0"/>
    <n v="0"/>
    <n v="239853"/>
    <n v="0"/>
    <s v="Unknown"/>
    <x v="0"/>
  </r>
  <r>
    <n v="279"/>
    <x v="0"/>
    <x v="0"/>
    <s v="Rice, Master. Eric"/>
    <x v="0"/>
    <x v="25"/>
    <n v="4"/>
    <n v="1"/>
    <n v="382652"/>
    <n v="29.125"/>
    <s v="Unknown"/>
    <x v="2"/>
  </r>
  <r>
    <n v="280"/>
    <x v="1"/>
    <x v="0"/>
    <s v="Abbott, Mrs. Stanton (Rosa Hunt)"/>
    <x v="1"/>
    <x v="3"/>
    <n v="1"/>
    <n v="1"/>
    <s v="C.A. 2673"/>
    <n v="20.25"/>
    <s v="Unknown"/>
    <x v="0"/>
  </r>
  <r>
    <n v="281"/>
    <x v="0"/>
    <x v="0"/>
    <s v="Duane, Mr. Frank"/>
    <x v="0"/>
    <x v="28"/>
    <n v="0"/>
    <n v="0"/>
    <n v="336439"/>
    <n v="7.75"/>
    <s v="Unknown"/>
    <x v="2"/>
  </r>
  <r>
    <n v="282"/>
    <x v="0"/>
    <x v="0"/>
    <s v="Olsson, Mr. Nils Johan Goransson"/>
    <x v="0"/>
    <x v="4"/>
    <n v="0"/>
    <n v="0"/>
    <n v="347464"/>
    <n v="7.8541999999999996"/>
    <s v="Unknown"/>
    <x v="0"/>
  </r>
  <r>
    <n v="283"/>
    <x v="0"/>
    <x v="0"/>
    <s v="de Pelsmaeker, Mr. Alfons"/>
    <x v="0"/>
    <x v="35"/>
    <n v="0"/>
    <n v="0"/>
    <n v="345778"/>
    <n v="9.5"/>
    <s v="Unknown"/>
    <x v="0"/>
  </r>
  <r>
    <n v="284"/>
    <x v="1"/>
    <x v="0"/>
    <s v="Dorking, Mr. Edward Arthur"/>
    <x v="0"/>
    <x v="18"/>
    <n v="0"/>
    <n v="0"/>
    <s v="A/5. 10482"/>
    <n v="8.0500000000000007"/>
    <s v="Unknown"/>
    <x v="0"/>
  </r>
  <r>
    <n v="285"/>
    <x v="0"/>
    <x v="1"/>
    <s v="Smith, Mr. Richard William"/>
    <x v="0"/>
    <x v="4"/>
    <n v="0"/>
    <n v="0"/>
    <n v="113056"/>
    <n v="26"/>
    <s v="A19"/>
    <x v="0"/>
  </r>
  <r>
    <n v="286"/>
    <x v="0"/>
    <x v="0"/>
    <s v="Stankovic, Mr. Ivan"/>
    <x v="0"/>
    <x v="39"/>
    <n v="0"/>
    <n v="0"/>
    <n v="349239"/>
    <n v="8.6624999999999996"/>
    <s v="Unknown"/>
    <x v="1"/>
  </r>
  <r>
    <n v="287"/>
    <x v="1"/>
    <x v="0"/>
    <s v="de Mulder, Mr. Theodore"/>
    <x v="0"/>
    <x v="38"/>
    <n v="0"/>
    <n v="0"/>
    <n v="345774"/>
    <n v="9.5"/>
    <s v="Unknown"/>
    <x v="0"/>
  </r>
  <r>
    <n v="288"/>
    <x v="0"/>
    <x v="0"/>
    <s v="Naidenoff, Mr. Penko"/>
    <x v="0"/>
    <x v="0"/>
    <n v="0"/>
    <n v="0"/>
    <n v="349206"/>
    <n v="7.8958000000000004"/>
    <s v="Unknown"/>
    <x v="0"/>
  </r>
  <r>
    <n v="289"/>
    <x v="1"/>
    <x v="2"/>
    <s v="Hosono, Mr. Masabumi"/>
    <x v="0"/>
    <x v="21"/>
    <n v="0"/>
    <n v="0"/>
    <n v="237798"/>
    <n v="13"/>
    <s v="Unknown"/>
    <x v="0"/>
  </r>
  <r>
    <n v="290"/>
    <x v="1"/>
    <x v="0"/>
    <s v="Connolly, Miss. Kate"/>
    <x v="1"/>
    <x v="0"/>
    <n v="0"/>
    <n v="0"/>
    <n v="370373"/>
    <n v="7.75"/>
    <s v="Unknown"/>
    <x v="2"/>
  </r>
  <r>
    <n v="291"/>
    <x v="1"/>
    <x v="1"/>
    <s v="Barber, Miss. Ellen &quot;Nellie&quot;"/>
    <x v="1"/>
    <x v="2"/>
    <n v="0"/>
    <n v="0"/>
    <n v="19877"/>
    <n v="78.849999999999994"/>
    <s v="Unknown"/>
    <x v="0"/>
  </r>
  <r>
    <n v="292"/>
    <x v="1"/>
    <x v="1"/>
    <s v="Bishop, Mrs. Dickinson H (Helen Walton)"/>
    <x v="1"/>
    <x v="18"/>
    <n v="1"/>
    <n v="0"/>
    <n v="11967"/>
    <n v="91.0792"/>
    <s v="B49"/>
    <x v="1"/>
  </r>
  <r>
    <n v="293"/>
    <x v="0"/>
    <x v="2"/>
    <s v="Levy, Mr. Rene Jacques"/>
    <x v="0"/>
    <x v="61"/>
    <n v="0"/>
    <n v="0"/>
    <s v="SC/Paris 2163"/>
    <n v="12.875"/>
    <s v="D"/>
    <x v="1"/>
  </r>
  <r>
    <n v="294"/>
    <x v="0"/>
    <x v="0"/>
    <s v="Haas, Miss. Aloisia"/>
    <x v="1"/>
    <x v="41"/>
    <n v="0"/>
    <n v="0"/>
    <n v="349236"/>
    <n v="8.85"/>
    <s v="Unknown"/>
    <x v="0"/>
  </r>
  <r>
    <n v="295"/>
    <x v="0"/>
    <x v="0"/>
    <s v="Mineff, Mr. Ivan"/>
    <x v="0"/>
    <x v="41"/>
    <n v="0"/>
    <n v="0"/>
    <n v="349233"/>
    <n v="7.8958000000000004"/>
    <s v="Unknown"/>
    <x v="0"/>
  </r>
  <r>
    <n v="296"/>
    <x v="0"/>
    <x v="1"/>
    <s v="Lewy, Mr. Ervin G"/>
    <x v="0"/>
    <x v="4"/>
    <n v="0"/>
    <n v="0"/>
    <s v="PC 17612"/>
    <n v="27.720800000000001"/>
    <s v="Unknown"/>
    <x v="1"/>
  </r>
  <r>
    <n v="297"/>
    <x v="0"/>
    <x v="0"/>
    <s v="Hanna, Mr. Mansour"/>
    <x v="0"/>
    <x v="68"/>
    <n v="0"/>
    <n v="0"/>
    <n v="2693"/>
    <n v="7.2291999999999996"/>
    <s v="Unknown"/>
    <x v="1"/>
  </r>
  <r>
    <n v="298"/>
    <x v="0"/>
    <x v="1"/>
    <s v="Allison, Miss. Helen Loraine"/>
    <x v="1"/>
    <x v="6"/>
    <n v="1"/>
    <n v="2"/>
    <n v="113781"/>
    <n v="151.55000000000001"/>
    <s v="C22 C26"/>
    <x v="0"/>
  </r>
  <r>
    <n v="299"/>
    <x v="1"/>
    <x v="1"/>
    <s v="Saalfeld, Mr. Adolphe"/>
    <x v="0"/>
    <x v="4"/>
    <n v="0"/>
    <n v="0"/>
    <n v="19988"/>
    <n v="30.5"/>
    <s v="C106"/>
    <x v="0"/>
  </r>
  <r>
    <n v="300"/>
    <x v="1"/>
    <x v="1"/>
    <s v="Baxter, Mrs. James (Helene DeLaudeniere Chaput)"/>
    <x v="1"/>
    <x v="60"/>
    <n v="0"/>
    <n v="1"/>
    <s v="PC 17558"/>
    <n v="247.52080000000001"/>
    <s v="B58 B60"/>
    <x v="1"/>
  </r>
  <r>
    <n v="301"/>
    <x v="1"/>
    <x v="0"/>
    <s v="Kelly, Miss. Anna Katherine &quot;Annie Kate&quot;"/>
    <x v="1"/>
    <x v="4"/>
    <n v="0"/>
    <n v="0"/>
    <n v="9234"/>
    <n v="7.75"/>
    <s v="Unknown"/>
    <x v="2"/>
  </r>
  <r>
    <n v="302"/>
    <x v="1"/>
    <x v="0"/>
    <s v="McCoy, Mr. Bernard"/>
    <x v="0"/>
    <x v="4"/>
    <n v="2"/>
    <n v="0"/>
    <n v="367226"/>
    <n v="23.25"/>
    <s v="Unknown"/>
    <x v="2"/>
  </r>
  <r>
    <n v="303"/>
    <x v="0"/>
    <x v="0"/>
    <s v="Johnson, Mr. William Cahoone Jr"/>
    <x v="0"/>
    <x v="18"/>
    <n v="0"/>
    <n v="0"/>
    <s v="LINE"/>
    <n v="0"/>
    <s v="Unknown"/>
    <x v="0"/>
  </r>
  <r>
    <n v="304"/>
    <x v="1"/>
    <x v="2"/>
    <s v="Keane, Miss. Nora A"/>
    <x v="1"/>
    <x v="4"/>
    <n v="0"/>
    <n v="0"/>
    <n v="226593"/>
    <n v="12.35"/>
    <s v="E101"/>
    <x v="2"/>
  </r>
  <r>
    <n v="305"/>
    <x v="0"/>
    <x v="0"/>
    <s v="Williams, Mr. Howard Hugh &quot;Harry&quot;"/>
    <x v="0"/>
    <x v="4"/>
    <n v="0"/>
    <n v="0"/>
    <s v="A/5 2466"/>
    <n v="8.0500000000000007"/>
    <s v="Unknown"/>
    <x v="0"/>
  </r>
  <r>
    <n v="306"/>
    <x v="1"/>
    <x v="1"/>
    <s v="Allison, Master. Hudson Trevor"/>
    <x v="0"/>
    <x v="69"/>
    <n v="1"/>
    <n v="2"/>
    <n v="113781"/>
    <n v="151.55000000000001"/>
    <s v="C22 C26"/>
    <x v="0"/>
  </r>
  <r>
    <n v="307"/>
    <x v="1"/>
    <x v="1"/>
    <s v="Fleming, Miss. Margaret"/>
    <x v="1"/>
    <x v="4"/>
    <n v="0"/>
    <n v="0"/>
    <n v="17421"/>
    <n v="110.88330000000001"/>
    <s v="Unknown"/>
    <x v="1"/>
  </r>
  <r>
    <n v="308"/>
    <x v="1"/>
    <x v="1"/>
    <s v="Penasco y Castellana, Mrs. Victor de Satode (Maria Josefa Perez de Soto y Vallejo)"/>
    <x v="1"/>
    <x v="33"/>
    <n v="1"/>
    <n v="0"/>
    <s v="PC 17758"/>
    <n v="108.9"/>
    <s v="C65"/>
    <x v="1"/>
  </r>
  <r>
    <n v="309"/>
    <x v="0"/>
    <x v="2"/>
    <s v="Abelson, Mr. Samuel"/>
    <x v="0"/>
    <x v="38"/>
    <n v="1"/>
    <n v="0"/>
    <s v="P/PP 3381"/>
    <n v="24"/>
    <s v="Unknown"/>
    <x v="1"/>
  </r>
  <r>
    <n v="310"/>
    <x v="1"/>
    <x v="1"/>
    <s v="Francatelli, Miss. Laura Mabel"/>
    <x v="1"/>
    <x v="38"/>
    <n v="0"/>
    <n v="0"/>
    <s v="PC 17485"/>
    <n v="56.929200000000002"/>
    <s v="E36"/>
    <x v="1"/>
  </r>
  <r>
    <n v="311"/>
    <x v="1"/>
    <x v="1"/>
    <s v="Hays, Miss. Margaret Bechstein"/>
    <x v="1"/>
    <x v="41"/>
    <n v="0"/>
    <n v="0"/>
    <n v="11767"/>
    <n v="83.158299999999997"/>
    <s v="C54"/>
    <x v="1"/>
  </r>
  <r>
    <n v="312"/>
    <x v="1"/>
    <x v="1"/>
    <s v="Ryerson, Miss. Emily Borie"/>
    <x v="1"/>
    <x v="23"/>
    <n v="2"/>
    <n v="2"/>
    <s v="PC 17608"/>
    <n v="262.375"/>
    <s v="B57 B59 B63 B66"/>
    <x v="1"/>
  </r>
  <r>
    <n v="313"/>
    <x v="0"/>
    <x v="2"/>
    <s v="Lahtinen, Mrs. William (Anna Sylfven)"/>
    <x v="1"/>
    <x v="2"/>
    <n v="1"/>
    <n v="1"/>
    <n v="250651"/>
    <n v="26"/>
    <s v="Unknown"/>
    <x v="0"/>
  </r>
  <r>
    <n v="314"/>
    <x v="0"/>
    <x v="0"/>
    <s v="Hendekovic, Mr. Ignjac"/>
    <x v="0"/>
    <x v="4"/>
    <n v="0"/>
    <n v="0"/>
    <n v="349243"/>
    <n v="7.8958000000000004"/>
    <s v="Unknown"/>
    <x v="0"/>
  </r>
  <r>
    <n v="315"/>
    <x v="0"/>
    <x v="2"/>
    <s v="Hart, Mr. Benjamin"/>
    <x v="0"/>
    <x v="70"/>
    <n v="1"/>
    <n v="1"/>
    <s v="F.C.C. 13529"/>
    <n v="26.25"/>
    <s v="Unknown"/>
    <x v="0"/>
  </r>
  <r>
    <n v="316"/>
    <x v="1"/>
    <x v="0"/>
    <s v="Nilsson, Miss. Helmina Josefina"/>
    <x v="1"/>
    <x v="2"/>
    <n v="0"/>
    <n v="0"/>
    <n v="347470"/>
    <n v="7.8541999999999996"/>
    <s v="Unknown"/>
    <x v="0"/>
  </r>
  <r>
    <n v="317"/>
    <x v="1"/>
    <x v="2"/>
    <s v="Kantor, Mrs. Sinai (Miriam Sternin)"/>
    <x v="1"/>
    <x v="41"/>
    <n v="1"/>
    <n v="0"/>
    <n v="244367"/>
    <n v="26"/>
    <s v="Unknown"/>
    <x v="0"/>
  </r>
  <r>
    <n v="318"/>
    <x v="0"/>
    <x v="2"/>
    <s v="Moraweck, Dr. Ernest"/>
    <x v="0"/>
    <x v="5"/>
    <n v="0"/>
    <n v="0"/>
    <n v="29011"/>
    <n v="14"/>
    <s v="Unknown"/>
    <x v="0"/>
  </r>
  <r>
    <n v="319"/>
    <x v="1"/>
    <x v="1"/>
    <s v="Wick, Miss. Mary Natalie"/>
    <x v="1"/>
    <x v="14"/>
    <n v="0"/>
    <n v="2"/>
    <n v="36928"/>
    <n v="164.86670000000001"/>
    <s v="C7"/>
    <x v="0"/>
  </r>
  <r>
    <n v="320"/>
    <x v="1"/>
    <x v="1"/>
    <s v="Spedden, Mrs. Frederic Oakley (Margaretta Corning Stone)"/>
    <x v="1"/>
    <x v="19"/>
    <n v="1"/>
    <n v="1"/>
    <n v="16966"/>
    <n v="134.5"/>
    <s v="E34"/>
    <x v="1"/>
  </r>
  <r>
    <n v="321"/>
    <x v="0"/>
    <x v="0"/>
    <s v="Dennis, Mr. Samuel"/>
    <x v="0"/>
    <x v="0"/>
    <n v="0"/>
    <n v="0"/>
    <s v="A/5 21172"/>
    <n v="7.25"/>
    <s v="Unknown"/>
    <x v="0"/>
  </r>
  <r>
    <n v="322"/>
    <x v="0"/>
    <x v="0"/>
    <s v="Danoff, Mr. Yoto"/>
    <x v="0"/>
    <x v="7"/>
    <n v="0"/>
    <n v="0"/>
    <n v="349219"/>
    <n v="7.8958000000000004"/>
    <s v="Unknown"/>
    <x v="0"/>
  </r>
  <r>
    <n v="323"/>
    <x v="1"/>
    <x v="2"/>
    <s v="Slayter, Miss. Hilda Mary"/>
    <x v="1"/>
    <x v="38"/>
    <n v="0"/>
    <n v="0"/>
    <n v="234818"/>
    <n v="12.35"/>
    <s v="Unknown"/>
    <x v="2"/>
  </r>
  <r>
    <n v="324"/>
    <x v="1"/>
    <x v="2"/>
    <s v="Caldwell, Mrs. Albert Francis (Sylvia Mae Harbaugh)"/>
    <x v="1"/>
    <x v="0"/>
    <n v="1"/>
    <n v="1"/>
    <n v="248738"/>
    <n v="29"/>
    <s v="Unknown"/>
    <x v="0"/>
  </r>
  <r>
    <n v="325"/>
    <x v="0"/>
    <x v="0"/>
    <s v="Sage, Mr. George John Jr"/>
    <x v="0"/>
    <x v="4"/>
    <n v="8"/>
    <n v="2"/>
    <s v="CA. 2343"/>
    <n v="69.55"/>
    <s v="Unknown"/>
    <x v="0"/>
  </r>
  <r>
    <n v="326"/>
    <x v="1"/>
    <x v="1"/>
    <s v="Young, Miss. Marie Grice"/>
    <x v="1"/>
    <x v="61"/>
    <n v="0"/>
    <n v="0"/>
    <s v="PC 17760"/>
    <n v="135.63329999999999"/>
    <s v="C32"/>
    <x v="1"/>
  </r>
  <r>
    <n v="327"/>
    <x v="0"/>
    <x v="0"/>
    <s v="Nysveen, Mr. Johan Hansen"/>
    <x v="0"/>
    <x v="58"/>
    <n v="0"/>
    <n v="0"/>
    <n v="345364"/>
    <n v="6.2374999999999998"/>
    <s v="Unknown"/>
    <x v="0"/>
  </r>
  <r>
    <n v="328"/>
    <x v="1"/>
    <x v="2"/>
    <s v="Ball, Mrs. (Ada E Hall)"/>
    <x v="1"/>
    <x v="61"/>
    <n v="0"/>
    <n v="0"/>
    <n v="28551"/>
    <n v="13"/>
    <s v="D"/>
    <x v="0"/>
  </r>
  <r>
    <n v="329"/>
    <x v="1"/>
    <x v="0"/>
    <s v="Goldsmith, Mrs. Frank John (Emily Alice Brown)"/>
    <x v="1"/>
    <x v="14"/>
    <n v="1"/>
    <n v="1"/>
    <n v="363291"/>
    <n v="20.524999999999999"/>
    <s v="Unknown"/>
    <x v="0"/>
  </r>
  <r>
    <n v="330"/>
    <x v="1"/>
    <x v="1"/>
    <s v="Hippach, Miss. Jean Gertrude"/>
    <x v="1"/>
    <x v="35"/>
    <n v="0"/>
    <n v="1"/>
    <n v="111361"/>
    <n v="57.979199999999999"/>
    <s v="B18"/>
    <x v="1"/>
  </r>
  <r>
    <n v="331"/>
    <x v="1"/>
    <x v="0"/>
    <s v="McCoy, Miss. Agnes"/>
    <x v="1"/>
    <x v="4"/>
    <n v="2"/>
    <n v="0"/>
    <n v="367226"/>
    <n v="23.25"/>
    <s v="Unknown"/>
    <x v="2"/>
  </r>
  <r>
    <n v="332"/>
    <x v="0"/>
    <x v="1"/>
    <s v="Partner, Mr. Austen"/>
    <x v="0"/>
    <x v="62"/>
    <n v="0"/>
    <n v="0"/>
    <n v="113043"/>
    <n v="28.5"/>
    <s v="C124"/>
    <x v="0"/>
  </r>
  <r>
    <n v="333"/>
    <x v="0"/>
    <x v="1"/>
    <s v="Graham, Mr. George Edward"/>
    <x v="0"/>
    <x v="1"/>
    <n v="0"/>
    <n v="1"/>
    <s v="PC 17582"/>
    <n v="153.46250000000001"/>
    <s v="C91"/>
    <x v="0"/>
  </r>
  <r>
    <n v="334"/>
    <x v="0"/>
    <x v="0"/>
    <s v="Vander Planke, Mr. Leo Edmondus"/>
    <x v="0"/>
    <x v="35"/>
    <n v="2"/>
    <n v="0"/>
    <n v="345764"/>
    <n v="18"/>
    <s v="Unknown"/>
    <x v="0"/>
  </r>
  <r>
    <n v="335"/>
    <x v="1"/>
    <x v="1"/>
    <s v="Frauenthal, Mrs. Henry William (Clara Heinsheimer)"/>
    <x v="1"/>
    <x v="4"/>
    <n v="1"/>
    <n v="0"/>
    <s v="PC 17611"/>
    <n v="133.65"/>
    <s v="Unknown"/>
    <x v="0"/>
  </r>
  <r>
    <n v="336"/>
    <x v="0"/>
    <x v="0"/>
    <s v="Denkoff, Mr. Mitto"/>
    <x v="0"/>
    <x v="4"/>
    <n v="0"/>
    <n v="0"/>
    <n v="349225"/>
    <n v="7.8958000000000004"/>
    <s v="Unknown"/>
    <x v="0"/>
  </r>
  <r>
    <n v="337"/>
    <x v="0"/>
    <x v="1"/>
    <s v="Pears, Mr. Thomas Clinton"/>
    <x v="0"/>
    <x v="27"/>
    <n v="1"/>
    <n v="0"/>
    <n v="113776"/>
    <n v="66.599999999999994"/>
    <s v="C2"/>
    <x v="0"/>
  </r>
  <r>
    <n v="338"/>
    <x v="1"/>
    <x v="1"/>
    <s v="Burns, Miss. Elizabeth Margaret"/>
    <x v="1"/>
    <x v="65"/>
    <n v="0"/>
    <n v="0"/>
    <n v="16966"/>
    <n v="134.5"/>
    <s v="E40"/>
    <x v="1"/>
  </r>
  <r>
    <n v="339"/>
    <x v="1"/>
    <x v="0"/>
    <s v="Dahl, Mr. Karl Edwart"/>
    <x v="0"/>
    <x v="32"/>
    <n v="0"/>
    <n v="0"/>
    <n v="7598"/>
    <n v="8.0500000000000007"/>
    <s v="Unknown"/>
    <x v="0"/>
  </r>
  <r>
    <n v="340"/>
    <x v="0"/>
    <x v="1"/>
    <s v="Blackwell, Mr. Stephen Weart"/>
    <x v="0"/>
    <x v="32"/>
    <n v="0"/>
    <n v="0"/>
    <n v="113784"/>
    <n v="35.5"/>
    <s v="T"/>
    <x v="0"/>
  </r>
  <r>
    <n v="341"/>
    <x v="1"/>
    <x v="2"/>
    <s v="Navratil, Master. Edmond Roger"/>
    <x v="0"/>
    <x v="6"/>
    <n v="1"/>
    <n v="1"/>
    <n v="230080"/>
    <n v="26"/>
    <s v="F2"/>
    <x v="0"/>
  </r>
  <r>
    <n v="342"/>
    <x v="1"/>
    <x v="1"/>
    <s v="Fortune, Miss. Alice Elizabeth"/>
    <x v="1"/>
    <x v="41"/>
    <n v="3"/>
    <n v="2"/>
    <n v="19950"/>
    <n v="263"/>
    <s v="C23 C25 C27"/>
    <x v="0"/>
  </r>
  <r>
    <n v="343"/>
    <x v="0"/>
    <x v="2"/>
    <s v="Collander, Mr. Erik Gustaf"/>
    <x v="0"/>
    <x v="4"/>
    <n v="0"/>
    <n v="0"/>
    <n v="248740"/>
    <n v="13"/>
    <s v="Unknown"/>
    <x v="0"/>
  </r>
  <r>
    <n v="344"/>
    <x v="0"/>
    <x v="2"/>
    <s v="Sedgwick, Mr. Charles Frederick Waddington"/>
    <x v="0"/>
    <x v="36"/>
    <n v="0"/>
    <n v="0"/>
    <n v="244361"/>
    <n v="13"/>
    <s v="Unknown"/>
    <x v="0"/>
  </r>
  <r>
    <n v="345"/>
    <x v="0"/>
    <x v="2"/>
    <s v="Fox, Mr. Stanley Hubert"/>
    <x v="0"/>
    <x v="61"/>
    <n v="0"/>
    <n v="0"/>
    <n v="229236"/>
    <n v="13"/>
    <s v="Unknown"/>
    <x v="0"/>
  </r>
  <r>
    <n v="346"/>
    <x v="1"/>
    <x v="2"/>
    <s v="Brown, Miss. Amelia &quot;Mildred&quot;"/>
    <x v="1"/>
    <x v="41"/>
    <n v="0"/>
    <n v="0"/>
    <n v="248733"/>
    <n v="13"/>
    <s v="F33"/>
    <x v="0"/>
  </r>
  <r>
    <n v="347"/>
    <x v="1"/>
    <x v="2"/>
    <s v="Smith, Miss. Marion Elsie"/>
    <x v="1"/>
    <x v="19"/>
    <n v="0"/>
    <n v="0"/>
    <n v="31418"/>
    <n v="13"/>
    <s v="Unknown"/>
    <x v="0"/>
  </r>
  <r>
    <n v="348"/>
    <x v="1"/>
    <x v="0"/>
    <s v="Davison, Mrs. Thomas Henry (Mary E Finck)"/>
    <x v="1"/>
    <x v="4"/>
    <n v="1"/>
    <n v="0"/>
    <n v="386525"/>
    <n v="16.100000000000001"/>
    <s v="Unknown"/>
    <x v="0"/>
  </r>
  <r>
    <n v="349"/>
    <x v="1"/>
    <x v="0"/>
    <s v="Coutts, Master. William Loch &quot;William&quot;"/>
    <x v="0"/>
    <x v="24"/>
    <n v="1"/>
    <n v="1"/>
    <s v="C.A. 37671"/>
    <n v="15.9"/>
    <s v="Unknown"/>
    <x v="0"/>
  </r>
  <r>
    <n v="350"/>
    <x v="0"/>
    <x v="0"/>
    <s v="Dimic, Mr. Jovan"/>
    <x v="0"/>
    <x v="21"/>
    <n v="0"/>
    <n v="0"/>
    <n v="315088"/>
    <n v="8.6624999999999996"/>
    <s v="Unknown"/>
    <x v="0"/>
  </r>
  <r>
    <n v="351"/>
    <x v="0"/>
    <x v="0"/>
    <s v="Odahl, Mr. Nils Martin"/>
    <x v="0"/>
    <x v="40"/>
    <n v="0"/>
    <n v="0"/>
    <n v="7267"/>
    <n v="9.2249999999999996"/>
    <s v="Unknown"/>
    <x v="0"/>
  </r>
  <r>
    <n v="352"/>
    <x v="0"/>
    <x v="1"/>
    <s v="Williams-Lambert, Mr. Fletcher Fellows"/>
    <x v="0"/>
    <x v="4"/>
    <n v="0"/>
    <n v="0"/>
    <n v="113510"/>
    <n v="35"/>
    <s v="C128"/>
    <x v="0"/>
  </r>
  <r>
    <n v="353"/>
    <x v="0"/>
    <x v="0"/>
    <s v="Elias, Mr. Tannous"/>
    <x v="0"/>
    <x v="16"/>
    <n v="1"/>
    <n v="1"/>
    <n v="2695"/>
    <n v="7.2291999999999996"/>
    <s v="Unknown"/>
    <x v="1"/>
  </r>
  <r>
    <n v="354"/>
    <x v="0"/>
    <x v="0"/>
    <s v="Arnold-Franchi, Mr. Josef"/>
    <x v="0"/>
    <x v="36"/>
    <n v="1"/>
    <n v="0"/>
    <n v="349237"/>
    <n v="17.8"/>
    <s v="Unknown"/>
    <x v="0"/>
  </r>
  <r>
    <n v="355"/>
    <x v="0"/>
    <x v="0"/>
    <s v="Yousif, Mr. Wazli"/>
    <x v="0"/>
    <x v="4"/>
    <n v="0"/>
    <n v="0"/>
    <n v="2647"/>
    <n v="7.2249999999999996"/>
    <s v="Unknown"/>
    <x v="1"/>
  </r>
  <r>
    <n v="356"/>
    <x v="0"/>
    <x v="0"/>
    <s v="Vanden Steen, Mr. Leo Peter"/>
    <x v="0"/>
    <x v="4"/>
    <n v="0"/>
    <n v="0"/>
    <n v="345783"/>
    <n v="9.5"/>
    <s v="Unknown"/>
    <x v="0"/>
  </r>
  <r>
    <n v="357"/>
    <x v="1"/>
    <x v="1"/>
    <s v="Bowerman, Miss. Elsie Edith"/>
    <x v="1"/>
    <x v="0"/>
    <n v="0"/>
    <n v="1"/>
    <n v="113505"/>
    <n v="55"/>
    <s v="E33"/>
    <x v="0"/>
  </r>
  <r>
    <n v="358"/>
    <x v="0"/>
    <x v="2"/>
    <s v="Funk, Miss. Annie Clemmer"/>
    <x v="1"/>
    <x v="1"/>
    <n v="0"/>
    <n v="0"/>
    <n v="237671"/>
    <n v="13"/>
    <s v="Unknown"/>
    <x v="0"/>
  </r>
  <r>
    <n v="359"/>
    <x v="1"/>
    <x v="0"/>
    <s v="McGovern, Miss. Mary"/>
    <x v="1"/>
    <x v="4"/>
    <n v="0"/>
    <n v="0"/>
    <n v="330931"/>
    <n v="7.8792"/>
    <s v="Unknown"/>
    <x v="2"/>
  </r>
  <r>
    <n v="360"/>
    <x v="1"/>
    <x v="0"/>
    <s v="Mockler, Miss. Helen Mary &quot;Ellie&quot;"/>
    <x v="1"/>
    <x v="4"/>
    <n v="0"/>
    <n v="0"/>
    <n v="330980"/>
    <n v="7.8792"/>
    <s v="Unknown"/>
    <x v="2"/>
  </r>
  <r>
    <n v="361"/>
    <x v="0"/>
    <x v="0"/>
    <s v="Skoog, Mr. Wilhelm"/>
    <x v="0"/>
    <x v="19"/>
    <n v="1"/>
    <n v="4"/>
    <n v="347088"/>
    <n v="27.9"/>
    <s v="Unknown"/>
    <x v="0"/>
  </r>
  <r>
    <n v="362"/>
    <x v="0"/>
    <x v="2"/>
    <s v="del Carlo, Mr. Sebastiano"/>
    <x v="0"/>
    <x v="27"/>
    <n v="1"/>
    <n v="0"/>
    <s v="SC/PARIS 2167"/>
    <n v="27.720800000000001"/>
    <s v="Unknown"/>
    <x v="1"/>
  </r>
  <r>
    <n v="363"/>
    <x v="0"/>
    <x v="0"/>
    <s v="Barbara, Mrs. (Catherine David)"/>
    <x v="1"/>
    <x v="32"/>
    <n v="0"/>
    <n v="1"/>
    <n v="2691"/>
    <n v="14.4542"/>
    <s v="Unknown"/>
    <x v="1"/>
  </r>
  <r>
    <n v="364"/>
    <x v="0"/>
    <x v="0"/>
    <s v="Asim, Mr. Adola"/>
    <x v="0"/>
    <x v="3"/>
    <n v="0"/>
    <n v="0"/>
    <s v="SOTON/O.Q. 3101310"/>
    <n v="7.05"/>
    <s v="Unknown"/>
    <x v="0"/>
  </r>
  <r>
    <n v="365"/>
    <x v="0"/>
    <x v="0"/>
    <s v="O'Brien, Mr. Thomas"/>
    <x v="0"/>
    <x v="4"/>
    <n v="1"/>
    <n v="0"/>
    <n v="370365"/>
    <n v="15.5"/>
    <s v="Unknown"/>
    <x v="2"/>
  </r>
  <r>
    <n v="366"/>
    <x v="0"/>
    <x v="0"/>
    <s v="Adahl, Mr. Mauritz Nils Martin"/>
    <x v="0"/>
    <x v="38"/>
    <n v="0"/>
    <n v="0"/>
    <s v="C 7076"/>
    <n v="7.25"/>
    <s v="Unknown"/>
    <x v="0"/>
  </r>
  <r>
    <n v="367"/>
    <x v="1"/>
    <x v="1"/>
    <s v="Warren, Mrs. Frank Manley (Anna Sophia Atkinson)"/>
    <x v="1"/>
    <x v="71"/>
    <n v="1"/>
    <n v="0"/>
    <n v="110813"/>
    <n v="75.25"/>
    <s v="D37"/>
    <x v="1"/>
  </r>
  <r>
    <n v="368"/>
    <x v="1"/>
    <x v="0"/>
    <s v="Moussa, Mrs. (Mantoura Boulos)"/>
    <x v="1"/>
    <x v="4"/>
    <n v="0"/>
    <n v="0"/>
    <n v="2626"/>
    <n v="7.2291999999999996"/>
    <s v="Unknown"/>
    <x v="1"/>
  </r>
  <r>
    <n v="369"/>
    <x v="1"/>
    <x v="0"/>
    <s v="Jermyn, Miss. Annie"/>
    <x v="1"/>
    <x v="4"/>
    <n v="0"/>
    <n v="0"/>
    <n v="14313"/>
    <n v="7.75"/>
    <s v="Unknown"/>
    <x v="2"/>
  </r>
  <r>
    <n v="370"/>
    <x v="1"/>
    <x v="1"/>
    <s v="Aubart, Mme. Leontine Pauline"/>
    <x v="1"/>
    <x v="41"/>
    <n v="0"/>
    <n v="0"/>
    <s v="PC 17477"/>
    <n v="69.3"/>
    <s v="B35"/>
    <x v="1"/>
  </r>
  <r>
    <n v="371"/>
    <x v="1"/>
    <x v="1"/>
    <s v="Harder, Mr. George Achilles"/>
    <x v="0"/>
    <x v="36"/>
    <n v="1"/>
    <n v="0"/>
    <n v="11765"/>
    <n v="55.441699999999997"/>
    <s v="E50"/>
    <x v="1"/>
  </r>
  <r>
    <n v="372"/>
    <x v="0"/>
    <x v="0"/>
    <s v="Wiklund, Mr. Jakob Alfred"/>
    <x v="0"/>
    <x v="23"/>
    <n v="1"/>
    <n v="0"/>
    <n v="3101267"/>
    <n v="6.4958"/>
    <s v="Unknown"/>
    <x v="0"/>
  </r>
  <r>
    <n v="373"/>
    <x v="0"/>
    <x v="0"/>
    <s v="Beavan, Mr. William Thomas"/>
    <x v="0"/>
    <x v="18"/>
    <n v="0"/>
    <n v="0"/>
    <n v="323951"/>
    <n v="8.0500000000000007"/>
    <s v="Unknown"/>
    <x v="0"/>
  </r>
  <r>
    <n v="374"/>
    <x v="0"/>
    <x v="1"/>
    <s v="Ringhini, Mr. Sante"/>
    <x v="0"/>
    <x v="0"/>
    <n v="0"/>
    <n v="0"/>
    <s v="PC 17760"/>
    <n v="135.63329999999999"/>
    <s v="Unknown"/>
    <x v="1"/>
  </r>
  <r>
    <n v="375"/>
    <x v="0"/>
    <x v="0"/>
    <s v="Palsson, Miss. Stina Viola"/>
    <x v="1"/>
    <x v="24"/>
    <n v="3"/>
    <n v="1"/>
    <n v="349909"/>
    <n v="21.074999999999999"/>
    <s v="Unknown"/>
    <x v="0"/>
  </r>
  <r>
    <n v="376"/>
    <x v="1"/>
    <x v="1"/>
    <s v="Meyer, Mrs. Edgar Joseph (Leila Saks)"/>
    <x v="1"/>
    <x v="4"/>
    <n v="1"/>
    <n v="0"/>
    <s v="PC 17604"/>
    <n v="82.1708"/>
    <s v="Unknown"/>
    <x v="1"/>
  </r>
  <r>
    <n v="377"/>
    <x v="1"/>
    <x v="0"/>
    <s v="Landergren, Miss. Aurora Adelia"/>
    <x v="1"/>
    <x v="0"/>
    <n v="0"/>
    <n v="0"/>
    <s v="C 7077"/>
    <n v="7.25"/>
    <s v="Unknown"/>
    <x v="0"/>
  </r>
  <r>
    <n v="378"/>
    <x v="0"/>
    <x v="1"/>
    <s v="Widener, Mr. Harry Elkins"/>
    <x v="0"/>
    <x v="7"/>
    <n v="0"/>
    <n v="2"/>
    <n v="113503"/>
    <n v="211.5"/>
    <s v="C82"/>
    <x v="1"/>
  </r>
  <r>
    <n v="379"/>
    <x v="0"/>
    <x v="0"/>
    <s v="Betros, Mr. Tannous"/>
    <x v="0"/>
    <x v="11"/>
    <n v="0"/>
    <n v="0"/>
    <n v="2648"/>
    <n v="4.0125000000000002"/>
    <s v="Unknown"/>
    <x v="1"/>
  </r>
  <r>
    <n v="380"/>
    <x v="0"/>
    <x v="0"/>
    <s v="Gustafsson, Mr. Karl Gideon"/>
    <x v="0"/>
    <x v="18"/>
    <n v="0"/>
    <n v="0"/>
    <n v="347069"/>
    <n v="7.7750000000000004"/>
    <s v="Unknown"/>
    <x v="0"/>
  </r>
  <r>
    <n v="381"/>
    <x v="1"/>
    <x v="1"/>
    <s v="Bidois, Miss. Rosalie"/>
    <x v="1"/>
    <x v="21"/>
    <n v="0"/>
    <n v="0"/>
    <s v="PC 17757"/>
    <n v="227.52500000000001"/>
    <s v="Unknown"/>
    <x v="1"/>
  </r>
  <r>
    <n v="382"/>
    <x v="1"/>
    <x v="0"/>
    <s v="Nakid, Miss. Maria (&quot;Mary&quot;)"/>
    <x v="1"/>
    <x v="57"/>
    <n v="0"/>
    <n v="2"/>
    <n v="2653"/>
    <n v="15.7417"/>
    <s v="Unknown"/>
    <x v="1"/>
  </r>
  <r>
    <n v="383"/>
    <x v="0"/>
    <x v="0"/>
    <s v="Tikkanen, Mr. Juho"/>
    <x v="0"/>
    <x v="34"/>
    <n v="0"/>
    <n v="0"/>
    <s v="STON/O 2. 3101293"/>
    <n v="7.9249999999999998"/>
    <s v="Unknown"/>
    <x v="0"/>
  </r>
  <r>
    <n v="384"/>
    <x v="1"/>
    <x v="1"/>
    <s v="Holverson, Mrs. Alexander Oskar (Mary Aline Towner)"/>
    <x v="1"/>
    <x v="3"/>
    <n v="1"/>
    <n v="0"/>
    <n v="113789"/>
    <n v="52"/>
    <s v="Unknown"/>
    <x v="0"/>
  </r>
  <r>
    <n v="385"/>
    <x v="0"/>
    <x v="0"/>
    <s v="Plotcharsky, Mr. Vasil"/>
    <x v="0"/>
    <x v="4"/>
    <n v="0"/>
    <n v="0"/>
    <n v="349227"/>
    <n v="7.8958000000000004"/>
    <s v="Unknown"/>
    <x v="0"/>
  </r>
  <r>
    <n v="386"/>
    <x v="0"/>
    <x v="2"/>
    <s v="Davies, Mr. Charles Henry"/>
    <x v="0"/>
    <x v="23"/>
    <n v="0"/>
    <n v="0"/>
    <s v="S.O.C. 14879"/>
    <n v="73.5"/>
    <s v="Unknown"/>
    <x v="0"/>
  </r>
  <r>
    <n v="387"/>
    <x v="0"/>
    <x v="0"/>
    <s v="Goodwin, Master. Sidney Leonard"/>
    <x v="0"/>
    <x v="57"/>
    <n v="5"/>
    <n v="2"/>
    <s v="CA 2144"/>
    <n v="46.9"/>
    <s v="Unknown"/>
    <x v="0"/>
  </r>
  <r>
    <n v="388"/>
    <x v="1"/>
    <x v="2"/>
    <s v="Buss, Miss. Kate"/>
    <x v="1"/>
    <x v="61"/>
    <n v="0"/>
    <n v="0"/>
    <n v="27849"/>
    <n v="13"/>
    <s v="Unknown"/>
    <x v="0"/>
  </r>
  <r>
    <n v="389"/>
    <x v="0"/>
    <x v="0"/>
    <s v="Sadlier, Mr. Matthew"/>
    <x v="0"/>
    <x v="4"/>
    <n v="0"/>
    <n v="0"/>
    <n v="367655"/>
    <n v="7.7291999999999996"/>
    <s v="Unknown"/>
    <x v="2"/>
  </r>
  <r>
    <n v="390"/>
    <x v="1"/>
    <x v="2"/>
    <s v="Lehmann, Miss. Bertha"/>
    <x v="1"/>
    <x v="33"/>
    <n v="0"/>
    <n v="0"/>
    <s v="SC 1748"/>
    <n v="12"/>
    <s v="Unknown"/>
    <x v="1"/>
  </r>
  <r>
    <n v="391"/>
    <x v="1"/>
    <x v="1"/>
    <s v="Carter, Mr. William Ernest"/>
    <x v="0"/>
    <x v="61"/>
    <n v="1"/>
    <n v="2"/>
    <n v="113760"/>
    <n v="120"/>
    <s v="B96 B98"/>
    <x v="0"/>
  </r>
  <r>
    <n v="392"/>
    <x v="1"/>
    <x v="0"/>
    <s v="Jansson, Mr. Carl Olof"/>
    <x v="0"/>
    <x v="22"/>
    <n v="0"/>
    <n v="0"/>
    <n v="350034"/>
    <n v="7.7957999999999998"/>
    <s v="Unknown"/>
    <x v="0"/>
  </r>
  <r>
    <n v="393"/>
    <x v="0"/>
    <x v="0"/>
    <s v="Gustafsson, Mr. Johan Birger"/>
    <x v="0"/>
    <x v="4"/>
    <n v="2"/>
    <n v="0"/>
    <n v="3101277"/>
    <n v="7.9249999999999998"/>
    <s v="Unknown"/>
    <x v="0"/>
  </r>
  <r>
    <n v="394"/>
    <x v="1"/>
    <x v="1"/>
    <s v="Newell, Miss. Marjorie"/>
    <x v="1"/>
    <x v="40"/>
    <n v="1"/>
    <n v="0"/>
    <n v="35273"/>
    <n v="113.27500000000001"/>
    <s v="D36"/>
    <x v="1"/>
  </r>
  <r>
    <n v="395"/>
    <x v="1"/>
    <x v="0"/>
    <s v="Sandstrom, Mrs. Hjalmar (Agnes Charlotta Bengtsson)"/>
    <x v="1"/>
    <x v="41"/>
    <n v="0"/>
    <n v="2"/>
    <s v="PP 9549"/>
    <n v="16.7"/>
    <s v="G6"/>
    <x v="0"/>
  </r>
  <r>
    <n v="396"/>
    <x v="0"/>
    <x v="0"/>
    <s v="Johansson, Mr. Erik"/>
    <x v="0"/>
    <x v="0"/>
    <n v="0"/>
    <n v="0"/>
    <n v="350052"/>
    <n v="7.7957999999999998"/>
    <s v="Unknown"/>
    <x v="0"/>
  </r>
  <r>
    <n v="397"/>
    <x v="0"/>
    <x v="0"/>
    <s v="Olsson, Miss. Elina"/>
    <x v="1"/>
    <x v="14"/>
    <n v="0"/>
    <n v="0"/>
    <n v="350407"/>
    <n v="7.8541999999999996"/>
    <s v="Unknown"/>
    <x v="0"/>
  </r>
  <r>
    <n v="398"/>
    <x v="0"/>
    <x v="2"/>
    <s v="McKane, Mr. Peter David"/>
    <x v="0"/>
    <x v="42"/>
    <n v="0"/>
    <n v="0"/>
    <n v="28403"/>
    <n v="26"/>
    <s v="Unknown"/>
    <x v="0"/>
  </r>
  <r>
    <n v="399"/>
    <x v="0"/>
    <x v="2"/>
    <s v="Pain, Dr. Alfred"/>
    <x v="0"/>
    <x v="40"/>
    <n v="0"/>
    <n v="0"/>
    <n v="244278"/>
    <n v="10.5"/>
    <s v="Unknown"/>
    <x v="0"/>
  </r>
  <r>
    <n v="400"/>
    <x v="1"/>
    <x v="2"/>
    <s v="Trout, Mrs. William H (Jessie L)"/>
    <x v="1"/>
    <x v="4"/>
    <n v="0"/>
    <n v="0"/>
    <n v="240929"/>
    <n v="12.65"/>
    <s v="Unknown"/>
    <x v="0"/>
  </r>
  <r>
    <n v="401"/>
    <x v="1"/>
    <x v="0"/>
    <s v="Niskanen, Mr. Juha"/>
    <x v="0"/>
    <x v="12"/>
    <n v="0"/>
    <n v="0"/>
    <s v="STON/O 2. 3101289"/>
    <n v="7.9249999999999998"/>
    <s v="Unknown"/>
    <x v="0"/>
  </r>
  <r>
    <n v="402"/>
    <x v="0"/>
    <x v="0"/>
    <s v="Adams, Mr. John"/>
    <x v="0"/>
    <x v="2"/>
    <n v="0"/>
    <n v="0"/>
    <n v="341826"/>
    <n v="8.0500000000000007"/>
    <s v="Unknown"/>
    <x v="0"/>
  </r>
  <r>
    <n v="403"/>
    <x v="0"/>
    <x v="0"/>
    <s v="Jussila, Miss. Mari Aina"/>
    <x v="1"/>
    <x v="22"/>
    <n v="1"/>
    <n v="0"/>
    <n v="4137"/>
    <n v="9.8249999999999993"/>
    <s v="Unknown"/>
    <x v="0"/>
  </r>
  <r>
    <n v="404"/>
    <x v="0"/>
    <x v="0"/>
    <s v="Hakkarainen, Mr. Pekka Pietari"/>
    <x v="0"/>
    <x v="4"/>
    <n v="1"/>
    <n v="0"/>
    <s v="STON/O2. 3101279"/>
    <n v="15.85"/>
    <s v="Unknown"/>
    <x v="0"/>
  </r>
  <r>
    <n v="405"/>
    <x v="0"/>
    <x v="0"/>
    <s v="Oreskovic, Miss. Marija"/>
    <x v="1"/>
    <x v="11"/>
    <n v="0"/>
    <n v="0"/>
    <n v="315096"/>
    <n v="8.6624999999999996"/>
    <s v="Unknown"/>
    <x v="0"/>
  </r>
  <r>
    <n v="406"/>
    <x v="0"/>
    <x v="2"/>
    <s v="Gale, Mr. Shadrach"/>
    <x v="0"/>
    <x v="15"/>
    <n v="1"/>
    <n v="0"/>
    <n v="28664"/>
    <n v="21"/>
    <s v="Unknown"/>
    <x v="0"/>
  </r>
  <r>
    <n v="407"/>
    <x v="0"/>
    <x v="0"/>
    <s v="Widegren, Mr. Carl/Charles Peter"/>
    <x v="0"/>
    <x v="53"/>
    <n v="0"/>
    <n v="0"/>
    <n v="347064"/>
    <n v="7.75"/>
    <s v="Unknown"/>
    <x v="0"/>
  </r>
  <r>
    <n v="408"/>
    <x v="1"/>
    <x v="2"/>
    <s v="Richards, Master. William Rowe"/>
    <x v="0"/>
    <x v="24"/>
    <n v="1"/>
    <n v="1"/>
    <n v="29106"/>
    <n v="18.75"/>
    <s v="Unknown"/>
    <x v="0"/>
  </r>
  <r>
    <n v="409"/>
    <x v="0"/>
    <x v="0"/>
    <s v="Birkeland, Mr. Hans Martin Monsen"/>
    <x v="0"/>
    <x v="22"/>
    <n v="0"/>
    <n v="0"/>
    <n v="312992"/>
    <n v="7.7750000000000004"/>
    <s v="Unknown"/>
    <x v="0"/>
  </r>
  <r>
    <n v="410"/>
    <x v="0"/>
    <x v="0"/>
    <s v="Lefebre, Miss. Ida"/>
    <x v="1"/>
    <x v="4"/>
    <n v="3"/>
    <n v="1"/>
    <n v="4133"/>
    <n v="25.466699999999999"/>
    <s v="Unknown"/>
    <x v="0"/>
  </r>
  <r>
    <n v="411"/>
    <x v="0"/>
    <x v="0"/>
    <s v="Sdycoff, Mr. Todor"/>
    <x v="0"/>
    <x v="4"/>
    <n v="0"/>
    <n v="0"/>
    <n v="349222"/>
    <n v="7.8958000000000004"/>
    <s v="Unknown"/>
    <x v="0"/>
  </r>
  <r>
    <n v="412"/>
    <x v="0"/>
    <x v="0"/>
    <s v="Hart, Mr. Henry"/>
    <x v="0"/>
    <x v="4"/>
    <n v="0"/>
    <n v="0"/>
    <n v="394140"/>
    <n v="6.8582999999999998"/>
    <s v="Unknown"/>
    <x v="2"/>
  </r>
  <r>
    <n v="413"/>
    <x v="1"/>
    <x v="1"/>
    <s v="Minahan, Miss. Daisy E"/>
    <x v="1"/>
    <x v="39"/>
    <n v="1"/>
    <n v="0"/>
    <n v="19928"/>
    <n v="90"/>
    <s v="C78"/>
    <x v="2"/>
  </r>
  <r>
    <n v="414"/>
    <x v="0"/>
    <x v="2"/>
    <s v="Cunningham, Mr. Alfred Fleming"/>
    <x v="0"/>
    <x v="4"/>
    <n v="0"/>
    <n v="0"/>
    <n v="239853"/>
    <n v="0"/>
    <s v="Unknown"/>
    <x v="0"/>
  </r>
  <r>
    <n v="415"/>
    <x v="1"/>
    <x v="0"/>
    <s v="Sundman, Mr. Johan Julian"/>
    <x v="0"/>
    <x v="56"/>
    <n v="0"/>
    <n v="0"/>
    <s v="STON/O 2. 3101269"/>
    <n v="7.9249999999999998"/>
    <s v="Unknown"/>
    <x v="0"/>
  </r>
  <r>
    <n v="416"/>
    <x v="0"/>
    <x v="0"/>
    <s v="Meek, Mrs. Thomas (Annie Louise Rowley)"/>
    <x v="1"/>
    <x v="4"/>
    <n v="0"/>
    <n v="0"/>
    <n v="343095"/>
    <n v="8.0500000000000007"/>
    <s v="Unknown"/>
    <x v="0"/>
  </r>
  <r>
    <n v="417"/>
    <x v="1"/>
    <x v="2"/>
    <s v="Drew, Mrs. James Vivian (Lulu Thorne Christian)"/>
    <x v="1"/>
    <x v="15"/>
    <n v="1"/>
    <n v="1"/>
    <n v="28220"/>
    <n v="32.5"/>
    <s v="Unknown"/>
    <x v="0"/>
  </r>
  <r>
    <n v="418"/>
    <x v="1"/>
    <x v="2"/>
    <s v="Silven, Miss. Lyyli Karoliina"/>
    <x v="1"/>
    <x v="23"/>
    <n v="0"/>
    <n v="2"/>
    <n v="250652"/>
    <n v="13"/>
    <s v="Unknown"/>
    <x v="0"/>
  </r>
  <r>
    <n v="419"/>
    <x v="0"/>
    <x v="2"/>
    <s v="Matthews, Mr. William John"/>
    <x v="0"/>
    <x v="38"/>
    <n v="0"/>
    <n v="0"/>
    <n v="28228"/>
    <n v="13"/>
    <s v="Unknown"/>
    <x v="0"/>
  </r>
  <r>
    <n v="420"/>
    <x v="0"/>
    <x v="0"/>
    <s v="Van Impe, Miss. Catharina"/>
    <x v="1"/>
    <x v="72"/>
    <n v="0"/>
    <n v="2"/>
    <n v="345773"/>
    <n v="24.15"/>
    <s v="Unknown"/>
    <x v="0"/>
  </r>
  <r>
    <n v="421"/>
    <x v="0"/>
    <x v="0"/>
    <s v="Gheorgheff, Mr. Stanio"/>
    <x v="0"/>
    <x v="4"/>
    <n v="0"/>
    <n v="0"/>
    <n v="349254"/>
    <n v="7.8958000000000004"/>
    <s v="Unknown"/>
    <x v="1"/>
  </r>
  <r>
    <n v="422"/>
    <x v="0"/>
    <x v="0"/>
    <s v="Charters, Mr. David"/>
    <x v="0"/>
    <x v="22"/>
    <n v="0"/>
    <n v="0"/>
    <s v="A/5. 13032"/>
    <n v="7.7332999999999998"/>
    <s v="Unknown"/>
    <x v="2"/>
  </r>
  <r>
    <n v="423"/>
    <x v="0"/>
    <x v="0"/>
    <s v="Zimmerman, Mr. Leo"/>
    <x v="0"/>
    <x v="27"/>
    <n v="0"/>
    <n v="0"/>
    <n v="315082"/>
    <n v="7.875"/>
    <s v="Unknown"/>
    <x v="0"/>
  </r>
  <r>
    <n v="424"/>
    <x v="0"/>
    <x v="0"/>
    <s v="Danbom, Mrs. Ernst Gilbert (Anna Sigrid Maria Brogren)"/>
    <x v="1"/>
    <x v="4"/>
    <n v="1"/>
    <n v="1"/>
    <n v="347080"/>
    <n v="14.4"/>
    <s v="Unknown"/>
    <x v="0"/>
  </r>
  <r>
    <n v="425"/>
    <x v="0"/>
    <x v="0"/>
    <s v="Rosblom, Mr. Viktor Richard"/>
    <x v="0"/>
    <x v="23"/>
    <n v="1"/>
    <n v="1"/>
    <n v="370129"/>
    <n v="20.212499999999999"/>
    <s v="Unknown"/>
    <x v="0"/>
  </r>
  <r>
    <n v="426"/>
    <x v="0"/>
    <x v="0"/>
    <s v="Wiseman, Mr. Phillippe"/>
    <x v="0"/>
    <x v="4"/>
    <n v="0"/>
    <n v="0"/>
    <s v="A/4. 34244"/>
    <n v="7.25"/>
    <s v="Unknown"/>
    <x v="0"/>
  </r>
  <r>
    <n v="427"/>
    <x v="1"/>
    <x v="2"/>
    <s v="Clarke, Mrs. Charles V (Ada Maria Winfield)"/>
    <x v="1"/>
    <x v="4"/>
    <n v="1"/>
    <n v="0"/>
    <n v="2003"/>
    <n v="26"/>
    <s v="Unknown"/>
    <x v="0"/>
  </r>
  <r>
    <n v="428"/>
    <x v="1"/>
    <x v="2"/>
    <s v="Phillips, Miss. Kate Florence (&quot;Mrs Kate Louise Phillips Marshall&quot;)"/>
    <x v="1"/>
    <x v="18"/>
    <n v="0"/>
    <n v="0"/>
    <n v="250655"/>
    <n v="26"/>
    <s v="Unknown"/>
    <x v="0"/>
  </r>
  <r>
    <n v="429"/>
    <x v="0"/>
    <x v="0"/>
    <s v="Flynn, Mr. James"/>
    <x v="0"/>
    <x v="4"/>
    <n v="0"/>
    <n v="0"/>
    <n v="364851"/>
    <n v="7.75"/>
    <s v="Unknown"/>
    <x v="2"/>
  </r>
  <r>
    <n v="430"/>
    <x v="1"/>
    <x v="0"/>
    <s v="Pickard, Mr. Berk (Berk Trembisky)"/>
    <x v="0"/>
    <x v="34"/>
    <n v="0"/>
    <n v="0"/>
    <s v="SOTON/O.Q. 392078"/>
    <n v="8.0500000000000007"/>
    <s v="E10"/>
    <x v="0"/>
  </r>
  <r>
    <n v="431"/>
    <x v="1"/>
    <x v="1"/>
    <s v="Bjornstrom-Steffansson, Mr. Mauritz Hakan"/>
    <x v="0"/>
    <x v="4"/>
    <n v="0"/>
    <n v="0"/>
    <n v="110564"/>
    <n v="26.55"/>
    <s v="C52"/>
    <x v="0"/>
  </r>
  <r>
    <n v="432"/>
    <x v="1"/>
    <x v="0"/>
    <s v="Thorneycroft, Mrs. Percival (Florence Kate White)"/>
    <x v="1"/>
    <x v="4"/>
    <n v="1"/>
    <n v="0"/>
    <n v="376564"/>
    <n v="16.100000000000001"/>
    <s v="Unknown"/>
    <x v="0"/>
  </r>
  <r>
    <n v="433"/>
    <x v="1"/>
    <x v="2"/>
    <s v="Louch, Mrs. Charles Alexander (Alice Adelaide Slow)"/>
    <x v="1"/>
    <x v="21"/>
    <n v="1"/>
    <n v="0"/>
    <s v="SC/AH 3085"/>
    <n v="26"/>
    <s v="Unknown"/>
    <x v="0"/>
  </r>
  <r>
    <n v="434"/>
    <x v="0"/>
    <x v="0"/>
    <s v="Kallio, Mr. Nikolai Erland"/>
    <x v="0"/>
    <x v="33"/>
    <n v="0"/>
    <n v="0"/>
    <s v="STON/O 2. 3101274"/>
    <n v="7.125"/>
    <s v="Unknown"/>
    <x v="0"/>
  </r>
  <r>
    <n v="435"/>
    <x v="0"/>
    <x v="1"/>
    <s v="Silvey, Mr. William Baird"/>
    <x v="0"/>
    <x v="60"/>
    <n v="1"/>
    <n v="0"/>
    <n v="13507"/>
    <n v="55.9"/>
    <s v="E44"/>
    <x v="0"/>
  </r>
  <r>
    <n v="436"/>
    <x v="1"/>
    <x v="1"/>
    <s v="Carter, Miss. Lucile Polk"/>
    <x v="1"/>
    <x v="8"/>
    <n v="1"/>
    <n v="2"/>
    <n v="113760"/>
    <n v="120"/>
    <s v="B96 B98"/>
    <x v="0"/>
  </r>
  <r>
    <n v="437"/>
    <x v="0"/>
    <x v="0"/>
    <s v="Ford, Miss. Doolina Margaret &quot;Daisy&quot;"/>
    <x v="1"/>
    <x v="22"/>
    <n v="2"/>
    <n v="2"/>
    <s v="W./C. 6608"/>
    <n v="34.375"/>
    <s v="Unknown"/>
    <x v="0"/>
  </r>
  <r>
    <n v="438"/>
    <x v="1"/>
    <x v="2"/>
    <s v="Richards, Mrs. Sidney (Emily Hocking)"/>
    <x v="1"/>
    <x v="41"/>
    <n v="2"/>
    <n v="3"/>
    <n v="29106"/>
    <n v="18.75"/>
    <s v="Unknown"/>
    <x v="0"/>
  </r>
  <r>
    <n v="439"/>
    <x v="0"/>
    <x v="1"/>
    <s v="Fortune, Mr. Mark"/>
    <x v="0"/>
    <x v="73"/>
    <n v="1"/>
    <n v="4"/>
    <n v="19950"/>
    <n v="263"/>
    <s v="C23 C25 C27"/>
    <x v="0"/>
  </r>
  <r>
    <n v="440"/>
    <x v="0"/>
    <x v="2"/>
    <s v="Kvillner, Mr. Johan Henrik Johannesson"/>
    <x v="0"/>
    <x v="14"/>
    <n v="0"/>
    <n v="0"/>
    <s v="C.A. 18723"/>
    <n v="10.5"/>
    <s v="Unknown"/>
    <x v="0"/>
  </r>
  <r>
    <n v="441"/>
    <x v="1"/>
    <x v="2"/>
    <s v="Hart, Mrs. Benjamin (Esther Ada Bloomfield)"/>
    <x v="1"/>
    <x v="32"/>
    <n v="1"/>
    <n v="1"/>
    <s v="F.C.C. 13529"/>
    <n v="26.25"/>
    <s v="Unknown"/>
    <x v="0"/>
  </r>
  <r>
    <n v="442"/>
    <x v="0"/>
    <x v="0"/>
    <s v="Hampe, Mr. Leon"/>
    <x v="0"/>
    <x v="11"/>
    <n v="0"/>
    <n v="0"/>
    <n v="345769"/>
    <n v="9.5"/>
    <s v="Unknown"/>
    <x v="0"/>
  </r>
  <r>
    <n v="443"/>
    <x v="0"/>
    <x v="0"/>
    <s v="Petterson, Mr. Johan Emil"/>
    <x v="0"/>
    <x v="36"/>
    <n v="1"/>
    <n v="0"/>
    <n v="347076"/>
    <n v="7.7750000000000004"/>
    <s v="Unknown"/>
    <x v="0"/>
  </r>
  <r>
    <n v="444"/>
    <x v="1"/>
    <x v="2"/>
    <s v="Reynaldo, Ms. Encarnacion"/>
    <x v="1"/>
    <x v="4"/>
    <n v="0"/>
    <n v="0"/>
    <n v="230434"/>
    <n v="13"/>
    <s v="Unknown"/>
    <x v="0"/>
  </r>
  <r>
    <n v="445"/>
    <x v="1"/>
    <x v="0"/>
    <s v="Johannesen-Bratthammer, Mr. Bernt"/>
    <x v="0"/>
    <x v="4"/>
    <n v="0"/>
    <n v="0"/>
    <n v="65306"/>
    <n v="8.1125000000000007"/>
    <s v="Unknown"/>
    <x v="0"/>
  </r>
  <r>
    <n v="446"/>
    <x v="1"/>
    <x v="1"/>
    <s v="Dodge, Master. Washington"/>
    <x v="0"/>
    <x v="9"/>
    <n v="0"/>
    <n v="2"/>
    <n v="33638"/>
    <n v="81.8583"/>
    <s v="A34"/>
    <x v="0"/>
  </r>
  <r>
    <n v="447"/>
    <x v="1"/>
    <x v="2"/>
    <s v="Mellinger, Miss. Madeleine Violet"/>
    <x v="1"/>
    <x v="74"/>
    <n v="0"/>
    <n v="1"/>
    <n v="250644"/>
    <n v="19.5"/>
    <s v="Unknown"/>
    <x v="0"/>
  </r>
  <r>
    <n v="448"/>
    <x v="1"/>
    <x v="1"/>
    <s v="Seward, Mr. Frederic Kimber"/>
    <x v="0"/>
    <x v="15"/>
    <n v="0"/>
    <n v="0"/>
    <n v="113794"/>
    <n v="26.55"/>
    <s v="Unknown"/>
    <x v="0"/>
  </r>
  <r>
    <n v="449"/>
    <x v="1"/>
    <x v="0"/>
    <s v="Baclini, Miss. Marie Catherine"/>
    <x v="1"/>
    <x v="30"/>
    <n v="2"/>
    <n v="1"/>
    <n v="2666"/>
    <n v="19.258299999999998"/>
    <s v="Unknown"/>
    <x v="1"/>
  </r>
  <r>
    <n v="450"/>
    <x v="1"/>
    <x v="1"/>
    <s v="Peuchen, Major. Arthur Godfrey"/>
    <x v="0"/>
    <x v="66"/>
    <n v="0"/>
    <n v="0"/>
    <n v="113786"/>
    <n v="30.5"/>
    <s v="C104"/>
    <x v="0"/>
  </r>
  <r>
    <n v="451"/>
    <x v="0"/>
    <x v="2"/>
    <s v="West, Mr. Edwy Arthur"/>
    <x v="0"/>
    <x v="61"/>
    <n v="1"/>
    <n v="2"/>
    <s v="C.A. 34651"/>
    <n v="27.75"/>
    <s v="Unknown"/>
    <x v="0"/>
  </r>
  <r>
    <n v="452"/>
    <x v="0"/>
    <x v="0"/>
    <s v="Hagland, Mr. Ingvald Olai Olsen"/>
    <x v="0"/>
    <x v="4"/>
    <n v="1"/>
    <n v="0"/>
    <n v="65303"/>
    <n v="19.966699999999999"/>
    <s v="Unknown"/>
    <x v="0"/>
  </r>
  <r>
    <n v="453"/>
    <x v="0"/>
    <x v="1"/>
    <s v="Foreman, Mr. Benjamin Laventall"/>
    <x v="0"/>
    <x v="38"/>
    <n v="0"/>
    <n v="0"/>
    <n v="113051"/>
    <n v="27.75"/>
    <s v="C111"/>
    <x v="1"/>
  </r>
  <r>
    <n v="454"/>
    <x v="1"/>
    <x v="1"/>
    <s v="Goldenberg, Mr. Samuel L"/>
    <x v="0"/>
    <x v="26"/>
    <n v="1"/>
    <n v="0"/>
    <n v="17453"/>
    <n v="89.104200000000006"/>
    <s v="C92"/>
    <x v="1"/>
  </r>
  <r>
    <n v="455"/>
    <x v="0"/>
    <x v="0"/>
    <s v="Peduzzi, Mr. Joseph"/>
    <x v="0"/>
    <x v="4"/>
    <n v="0"/>
    <n v="0"/>
    <s v="A/5 2817"/>
    <n v="8.0500000000000007"/>
    <s v="Unknown"/>
    <x v="0"/>
  </r>
  <r>
    <n v="456"/>
    <x v="1"/>
    <x v="0"/>
    <s v="Jalsevac, Mr. Ivan"/>
    <x v="0"/>
    <x v="27"/>
    <n v="0"/>
    <n v="0"/>
    <n v="349240"/>
    <n v="7.8958000000000004"/>
    <s v="Unknown"/>
    <x v="1"/>
  </r>
  <r>
    <n v="457"/>
    <x v="0"/>
    <x v="1"/>
    <s v="Millet, Mr. Francis Davis"/>
    <x v="0"/>
    <x v="28"/>
    <n v="0"/>
    <n v="0"/>
    <n v="13509"/>
    <n v="26.55"/>
    <s v="E38"/>
    <x v="0"/>
  </r>
  <r>
    <n v="458"/>
    <x v="1"/>
    <x v="1"/>
    <s v="Kenyon, Mrs. Frederick R (Marion)"/>
    <x v="1"/>
    <x v="4"/>
    <n v="1"/>
    <n v="0"/>
    <n v="17464"/>
    <n v="51.862499999999997"/>
    <s v="D21"/>
    <x v="0"/>
  </r>
  <r>
    <n v="459"/>
    <x v="1"/>
    <x v="2"/>
    <s v="Toomey, Miss. Ellen"/>
    <x v="1"/>
    <x v="60"/>
    <n v="0"/>
    <n v="0"/>
    <s v="F.C.C. 13531"/>
    <n v="10.5"/>
    <s v="Unknown"/>
    <x v="0"/>
  </r>
  <r>
    <n v="460"/>
    <x v="0"/>
    <x v="0"/>
    <s v="O'Connor, Mr. Maurice"/>
    <x v="0"/>
    <x v="4"/>
    <n v="0"/>
    <n v="0"/>
    <n v="371060"/>
    <n v="7.75"/>
    <s v="Unknown"/>
    <x v="2"/>
  </r>
  <r>
    <n v="461"/>
    <x v="1"/>
    <x v="1"/>
    <s v="Anderson, Mr. Harry"/>
    <x v="0"/>
    <x v="75"/>
    <n v="0"/>
    <n v="0"/>
    <n v="19952"/>
    <n v="26.55"/>
    <s v="E12"/>
    <x v="0"/>
  </r>
  <r>
    <n v="462"/>
    <x v="0"/>
    <x v="0"/>
    <s v="Morley, Mr. William"/>
    <x v="0"/>
    <x v="15"/>
    <n v="0"/>
    <n v="0"/>
    <n v="364506"/>
    <n v="8.0500000000000007"/>
    <s v="Unknown"/>
    <x v="0"/>
  </r>
  <r>
    <n v="463"/>
    <x v="0"/>
    <x v="1"/>
    <s v="Gee, Mr. Arthur H"/>
    <x v="0"/>
    <x v="46"/>
    <n v="0"/>
    <n v="0"/>
    <n v="111320"/>
    <n v="38.5"/>
    <s v="E63"/>
    <x v="0"/>
  </r>
  <r>
    <n v="464"/>
    <x v="0"/>
    <x v="2"/>
    <s v="Milling, Mr. Jacob Christian"/>
    <x v="0"/>
    <x v="75"/>
    <n v="0"/>
    <n v="0"/>
    <n v="234360"/>
    <n v="13"/>
    <s v="Unknown"/>
    <x v="0"/>
  </r>
  <r>
    <n v="465"/>
    <x v="0"/>
    <x v="0"/>
    <s v="Maisner, Mr. Simon"/>
    <x v="0"/>
    <x v="4"/>
    <n v="0"/>
    <n v="0"/>
    <s v="A/S 2816"/>
    <n v="8.0500000000000007"/>
    <s v="Unknown"/>
    <x v="0"/>
  </r>
  <r>
    <n v="466"/>
    <x v="0"/>
    <x v="0"/>
    <s v="Goncalves, Mr. Manuel Estanslas"/>
    <x v="0"/>
    <x v="1"/>
    <n v="0"/>
    <n v="0"/>
    <s v="SOTON/O.Q. 3101306"/>
    <n v="7.05"/>
    <s v="Unknown"/>
    <x v="0"/>
  </r>
  <r>
    <n v="467"/>
    <x v="0"/>
    <x v="2"/>
    <s v="Campbell, Mr. William"/>
    <x v="0"/>
    <x v="4"/>
    <n v="0"/>
    <n v="0"/>
    <n v="239853"/>
    <n v="0"/>
    <s v="Unknown"/>
    <x v="0"/>
  </r>
  <r>
    <n v="468"/>
    <x v="0"/>
    <x v="1"/>
    <s v="Smart, Mr. John Montgomery"/>
    <x v="0"/>
    <x v="59"/>
    <n v="0"/>
    <n v="0"/>
    <n v="113792"/>
    <n v="26.55"/>
    <s v="Unknown"/>
    <x v="0"/>
  </r>
  <r>
    <n v="469"/>
    <x v="0"/>
    <x v="0"/>
    <s v="Scanlan, Mr. James"/>
    <x v="0"/>
    <x v="4"/>
    <n v="0"/>
    <n v="0"/>
    <n v="36209"/>
    <n v="7.7249999999999996"/>
    <s v="Unknown"/>
    <x v="2"/>
  </r>
  <r>
    <n v="470"/>
    <x v="1"/>
    <x v="0"/>
    <s v="Baclini, Miss. Helene Barbara"/>
    <x v="1"/>
    <x v="76"/>
    <n v="2"/>
    <n v="1"/>
    <n v="2666"/>
    <n v="19.258299999999998"/>
    <s v="Unknown"/>
    <x v="1"/>
  </r>
  <r>
    <n v="471"/>
    <x v="0"/>
    <x v="0"/>
    <s v="Keefe, Mr. Arthur"/>
    <x v="0"/>
    <x v="4"/>
    <n v="0"/>
    <n v="0"/>
    <n v="323592"/>
    <n v="7.25"/>
    <s v="Unknown"/>
    <x v="0"/>
  </r>
  <r>
    <n v="472"/>
    <x v="0"/>
    <x v="0"/>
    <s v="Cacic, Mr. Luka"/>
    <x v="0"/>
    <x v="1"/>
    <n v="0"/>
    <n v="0"/>
    <n v="315089"/>
    <n v="8.6624999999999996"/>
    <s v="Unknown"/>
    <x v="0"/>
  </r>
  <r>
    <n v="473"/>
    <x v="1"/>
    <x v="2"/>
    <s v="West, Mrs. Edwy Arthur (Ada Mary Worth)"/>
    <x v="1"/>
    <x v="39"/>
    <n v="1"/>
    <n v="2"/>
    <s v="C.A. 34651"/>
    <n v="27.75"/>
    <s v="Unknown"/>
    <x v="0"/>
  </r>
  <r>
    <n v="474"/>
    <x v="1"/>
    <x v="2"/>
    <s v="Jerwan, Mrs. Amin S (Marie Marthe Thuillard)"/>
    <x v="1"/>
    <x v="40"/>
    <n v="0"/>
    <n v="0"/>
    <s v="SC/AH Basle 541"/>
    <n v="13.791700000000001"/>
    <s v="D"/>
    <x v="1"/>
  </r>
  <r>
    <n v="475"/>
    <x v="0"/>
    <x v="0"/>
    <s v="Strandberg, Miss. Ida Sofia"/>
    <x v="1"/>
    <x v="0"/>
    <n v="0"/>
    <n v="0"/>
    <n v="7553"/>
    <n v="9.8375000000000004"/>
    <s v="Unknown"/>
    <x v="0"/>
  </r>
  <r>
    <n v="476"/>
    <x v="0"/>
    <x v="1"/>
    <s v="Clifford, Mr. George Quincy"/>
    <x v="0"/>
    <x v="4"/>
    <n v="0"/>
    <n v="0"/>
    <n v="110465"/>
    <n v="52"/>
    <s v="A14"/>
    <x v="0"/>
  </r>
  <r>
    <n v="477"/>
    <x v="0"/>
    <x v="2"/>
    <s v="Renouf, Mr. Peter Henry"/>
    <x v="0"/>
    <x v="15"/>
    <n v="1"/>
    <n v="0"/>
    <n v="31027"/>
    <n v="21"/>
    <s v="Unknown"/>
    <x v="0"/>
  </r>
  <r>
    <n v="478"/>
    <x v="0"/>
    <x v="0"/>
    <s v="Braund, Mr. Lewis Richard"/>
    <x v="0"/>
    <x v="27"/>
    <n v="1"/>
    <n v="0"/>
    <n v="3460"/>
    <n v="7.0457999999999998"/>
    <s v="Unknown"/>
    <x v="0"/>
  </r>
  <r>
    <n v="479"/>
    <x v="0"/>
    <x v="0"/>
    <s v="Karlsson, Mr. Nils August"/>
    <x v="0"/>
    <x v="0"/>
    <n v="0"/>
    <n v="0"/>
    <n v="350060"/>
    <n v="7.5208000000000004"/>
    <s v="Unknown"/>
    <x v="0"/>
  </r>
  <r>
    <n v="480"/>
    <x v="1"/>
    <x v="0"/>
    <s v="Hirvonen, Miss. Hildur E"/>
    <x v="1"/>
    <x v="6"/>
    <n v="0"/>
    <n v="1"/>
    <n v="3101298"/>
    <n v="12.2875"/>
    <s v="Unknown"/>
    <x v="0"/>
  </r>
  <r>
    <n v="481"/>
    <x v="0"/>
    <x v="0"/>
    <s v="Goodwin, Master. Harold Victor"/>
    <x v="0"/>
    <x v="51"/>
    <n v="5"/>
    <n v="2"/>
    <s v="CA 2144"/>
    <n v="46.9"/>
    <s v="Unknown"/>
    <x v="0"/>
  </r>
  <r>
    <n v="482"/>
    <x v="0"/>
    <x v="2"/>
    <s v="Frost, Mr. Anthony Wood &quot;Archie&quot;"/>
    <x v="0"/>
    <x v="4"/>
    <n v="0"/>
    <n v="0"/>
    <n v="239854"/>
    <n v="0"/>
    <s v="Unknown"/>
    <x v="0"/>
  </r>
  <r>
    <n v="483"/>
    <x v="0"/>
    <x v="0"/>
    <s v="Rouse, Mr. Richard Henry"/>
    <x v="0"/>
    <x v="60"/>
    <n v="0"/>
    <n v="0"/>
    <s v="A/5 3594"/>
    <n v="8.0500000000000007"/>
    <s v="Unknown"/>
    <x v="0"/>
  </r>
  <r>
    <n v="484"/>
    <x v="1"/>
    <x v="0"/>
    <s v="Turkula, Mrs. (Hedwig)"/>
    <x v="1"/>
    <x v="67"/>
    <n v="0"/>
    <n v="0"/>
    <n v="4134"/>
    <n v="9.5875000000000004"/>
    <s v="Unknown"/>
    <x v="0"/>
  </r>
  <r>
    <n v="485"/>
    <x v="1"/>
    <x v="1"/>
    <s v="Bishop, Mr. Dickinson H"/>
    <x v="0"/>
    <x v="36"/>
    <n v="1"/>
    <n v="0"/>
    <n v="11967"/>
    <n v="91.0792"/>
    <s v="B49"/>
    <x v="1"/>
  </r>
  <r>
    <n v="486"/>
    <x v="0"/>
    <x v="0"/>
    <s v="Lefebre, Miss. Jeannie"/>
    <x v="1"/>
    <x v="4"/>
    <n v="3"/>
    <n v="1"/>
    <n v="4133"/>
    <n v="25.466699999999999"/>
    <s v="Unknown"/>
    <x v="0"/>
  </r>
  <r>
    <n v="487"/>
    <x v="1"/>
    <x v="1"/>
    <s v="Hoyt, Mrs. Frederick Maxfield (Jane Anne Forby)"/>
    <x v="1"/>
    <x v="3"/>
    <n v="1"/>
    <n v="0"/>
    <n v="19943"/>
    <n v="90"/>
    <s v="C93"/>
    <x v="0"/>
  </r>
  <r>
    <n v="488"/>
    <x v="0"/>
    <x v="1"/>
    <s v="Kent, Mr. Edward Austin"/>
    <x v="0"/>
    <x v="10"/>
    <n v="0"/>
    <n v="0"/>
    <n v="11771"/>
    <n v="29.7"/>
    <s v="B37"/>
    <x v="1"/>
  </r>
  <r>
    <n v="489"/>
    <x v="0"/>
    <x v="0"/>
    <s v="Somerton, Mr. Francis William"/>
    <x v="0"/>
    <x v="38"/>
    <n v="0"/>
    <n v="0"/>
    <s v="A.5. 18509"/>
    <n v="8.0500000000000007"/>
    <s v="Unknown"/>
    <x v="0"/>
  </r>
  <r>
    <n v="490"/>
    <x v="1"/>
    <x v="0"/>
    <s v="Coutts, Master. Eden Leslie &quot;Neville&quot;"/>
    <x v="0"/>
    <x v="51"/>
    <n v="1"/>
    <n v="1"/>
    <s v="C.A. 37671"/>
    <n v="15.9"/>
    <s v="Unknown"/>
    <x v="0"/>
  </r>
  <r>
    <n v="491"/>
    <x v="0"/>
    <x v="0"/>
    <s v="Hagland, Mr. Konrad Mathias Reiersen"/>
    <x v="0"/>
    <x v="4"/>
    <n v="1"/>
    <n v="0"/>
    <n v="65304"/>
    <n v="19.966699999999999"/>
    <s v="Unknown"/>
    <x v="0"/>
  </r>
  <r>
    <n v="492"/>
    <x v="0"/>
    <x v="0"/>
    <s v="Windelov, Mr. Einar"/>
    <x v="0"/>
    <x v="22"/>
    <n v="0"/>
    <n v="0"/>
    <s v="SOTON/OQ 3101317"/>
    <n v="7.25"/>
    <s v="Unknown"/>
    <x v="0"/>
  </r>
  <r>
    <n v="493"/>
    <x v="0"/>
    <x v="1"/>
    <s v="Molson, Mr. Harry Markland"/>
    <x v="0"/>
    <x v="13"/>
    <n v="0"/>
    <n v="0"/>
    <n v="113787"/>
    <n v="30.5"/>
    <s v="C30"/>
    <x v="0"/>
  </r>
  <r>
    <n v="494"/>
    <x v="0"/>
    <x v="1"/>
    <s v="Artagaveytia, Mr. Ramon"/>
    <x v="0"/>
    <x v="44"/>
    <n v="0"/>
    <n v="0"/>
    <s v="PC 17609"/>
    <n v="49.504199999999997"/>
    <s v="Unknown"/>
    <x v="1"/>
  </r>
  <r>
    <n v="495"/>
    <x v="0"/>
    <x v="0"/>
    <s v="Stanley, Mr. Edward Roland"/>
    <x v="0"/>
    <x v="22"/>
    <n v="0"/>
    <n v="0"/>
    <s v="A/4 45380"/>
    <n v="8.0500000000000007"/>
    <s v="Unknown"/>
    <x v="0"/>
  </r>
  <r>
    <n v="496"/>
    <x v="0"/>
    <x v="0"/>
    <s v="Yousseff, Mr. Gerious"/>
    <x v="0"/>
    <x v="4"/>
    <n v="0"/>
    <n v="0"/>
    <n v="2627"/>
    <n v="14.458299999999999"/>
    <s v="Unknown"/>
    <x v="1"/>
  </r>
  <r>
    <n v="497"/>
    <x v="1"/>
    <x v="1"/>
    <s v="Eustis, Miss. Elizabeth Mussey"/>
    <x v="1"/>
    <x v="5"/>
    <n v="1"/>
    <n v="0"/>
    <n v="36947"/>
    <n v="78.2667"/>
    <s v="D20"/>
    <x v="1"/>
  </r>
  <r>
    <n v="498"/>
    <x v="0"/>
    <x v="0"/>
    <s v="Shellard, Mr. Frederick William"/>
    <x v="0"/>
    <x v="4"/>
    <n v="0"/>
    <n v="0"/>
    <s v="C.A. 6212"/>
    <n v="15.1"/>
    <s v="Unknown"/>
    <x v="0"/>
  </r>
  <r>
    <n v="499"/>
    <x v="0"/>
    <x v="1"/>
    <s v="Allison, Mrs. Hudson J C (Bessie Waldo Daniels)"/>
    <x v="1"/>
    <x v="36"/>
    <n v="1"/>
    <n v="2"/>
    <n v="113781"/>
    <n v="151.55000000000001"/>
    <s v="C22 C26"/>
    <x v="0"/>
  </r>
  <r>
    <n v="500"/>
    <x v="0"/>
    <x v="0"/>
    <s v="Svensson, Mr. Olof"/>
    <x v="0"/>
    <x v="41"/>
    <n v="0"/>
    <n v="0"/>
    <n v="350035"/>
    <n v="7.7957999999999998"/>
    <s v="Unknown"/>
    <x v="0"/>
  </r>
  <r>
    <n v="501"/>
    <x v="0"/>
    <x v="0"/>
    <s v="Calic, Mr. Petar"/>
    <x v="0"/>
    <x v="33"/>
    <n v="0"/>
    <n v="0"/>
    <n v="315086"/>
    <n v="8.6624999999999996"/>
    <s v="Unknown"/>
    <x v="0"/>
  </r>
  <r>
    <n v="502"/>
    <x v="0"/>
    <x v="0"/>
    <s v="Canavan, Miss. Mary"/>
    <x v="1"/>
    <x v="22"/>
    <n v="0"/>
    <n v="0"/>
    <n v="364846"/>
    <n v="7.75"/>
    <s v="Unknown"/>
    <x v="2"/>
  </r>
  <r>
    <n v="503"/>
    <x v="0"/>
    <x v="0"/>
    <s v="O'Sullivan, Miss. Bridget Mary"/>
    <x v="1"/>
    <x v="4"/>
    <n v="0"/>
    <n v="0"/>
    <n v="330909"/>
    <n v="7.6292"/>
    <s v="Unknown"/>
    <x v="2"/>
  </r>
  <r>
    <n v="504"/>
    <x v="0"/>
    <x v="0"/>
    <s v="Laitinen, Miss. Kristina Sofia"/>
    <x v="1"/>
    <x v="45"/>
    <n v="0"/>
    <n v="0"/>
    <n v="4135"/>
    <n v="9.5875000000000004"/>
    <s v="Unknown"/>
    <x v="0"/>
  </r>
  <r>
    <n v="505"/>
    <x v="1"/>
    <x v="1"/>
    <s v="Maioni, Miss. Roberta"/>
    <x v="1"/>
    <x v="35"/>
    <n v="0"/>
    <n v="0"/>
    <n v="110152"/>
    <n v="86.5"/>
    <s v="B79"/>
    <x v="0"/>
  </r>
  <r>
    <n v="506"/>
    <x v="0"/>
    <x v="1"/>
    <s v="Penasco y Castellana, Mr. Victor de Satode"/>
    <x v="0"/>
    <x v="23"/>
    <n v="1"/>
    <n v="0"/>
    <s v="PC 17758"/>
    <n v="108.9"/>
    <s v="C65"/>
    <x v="1"/>
  </r>
  <r>
    <n v="507"/>
    <x v="1"/>
    <x v="2"/>
    <s v="Quick, Mrs. Frederick Charles (Jane Richards)"/>
    <x v="1"/>
    <x v="39"/>
    <n v="0"/>
    <n v="2"/>
    <n v="26360"/>
    <n v="26"/>
    <s v="Unknown"/>
    <x v="0"/>
  </r>
  <r>
    <n v="508"/>
    <x v="1"/>
    <x v="1"/>
    <s v="Bradley, Mr. George (&quot;George Arthur Brayton&quot;)"/>
    <x v="0"/>
    <x v="4"/>
    <n v="0"/>
    <n v="0"/>
    <n v="111427"/>
    <n v="26.55"/>
    <s v="Unknown"/>
    <x v="0"/>
  </r>
  <r>
    <n v="509"/>
    <x v="0"/>
    <x v="0"/>
    <s v="Olsen, Mr. Henry Margido"/>
    <x v="0"/>
    <x v="4"/>
    <n v="0"/>
    <n v="0"/>
    <s v="C 4001"/>
    <n v="22.524999999999999"/>
    <s v="Unknown"/>
    <x v="0"/>
  </r>
  <r>
    <n v="510"/>
    <x v="1"/>
    <x v="0"/>
    <s v="Lang, Mr. Fang"/>
    <x v="0"/>
    <x v="2"/>
    <n v="0"/>
    <n v="0"/>
    <n v="1601"/>
    <n v="56.495800000000003"/>
    <s v="Unknown"/>
    <x v="0"/>
  </r>
  <r>
    <n v="511"/>
    <x v="1"/>
    <x v="0"/>
    <s v="Daly, Mr. Eugene Patrick"/>
    <x v="0"/>
    <x v="27"/>
    <n v="0"/>
    <n v="0"/>
    <n v="382651"/>
    <n v="7.75"/>
    <s v="Unknown"/>
    <x v="2"/>
  </r>
  <r>
    <n v="512"/>
    <x v="0"/>
    <x v="0"/>
    <s v="Webber, Mr. James"/>
    <x v="0"/>
    <x v="4"/>
    <n v="0"/>
    <n v="0"/>
    <s v="SOTON/OQ 3101316"/>
    <n v="8.0500000000000007"/>
    <s v="Unknown"/>
    <x v="0"/>
  </r>
  <r>
    <n v="513"/>
    <x v="1"/>
    <x v="1"/>
    <s v="McGough, Mr. James Robert"/>
    <x v="0"/>
    <x v="61"/>
    <n v="0"/>
    <n v="0"/>
    <s v="PC 17473"/>
    <n v="26.287500000000001"/>
    <s v="E25"/>
    <x v="0"/>
  </r>
  <r>
    <n v="514"/>
    <x v="1"/>
    <x v="1"/>
    <s v="Rothschild, Mrs. Martin (Elizabeth L. Barrett)"/>
    <x v="1"/>
    <x v="5"/>
    <n v="1"/>
    <n v="0"/>
    <s v="PC 17603"/>
    <n v="59.4"/>
    <s v="Unknown"/>
    <x v="1"/>
  </r>
  <r>
    <n v="515"/>
    <x v="0"/>
    <x v="0"/>
    <s v="Coleff, Mr. Satio"/>
    <x v="0"/>
    <x v="41"/>
    <n v="0"/>
    <n v="0"/>
    <n v="349209"/>
    <n v="7.4958"/>
    <s v="Unknown"/>
    <x v="0"/>
  </r>
  <r>
    <n v="516"/>
    <x v="0"/>
    <x v="1"/>
    <s v="Walker, Mr. William Anderson"/>
    <x v="0"/>
    <x v="46"/>
    <n v="0"/>
    <n v="0"/>
    <n v="36967"/>
    <n v="34.020800000000001"/>
    <s v="D46"/>
    <x v="0"/>
  </r>
  <r>
    <n v="517"/>
    <x v="1"/>
    <x v="2"/>
    <s v="Lemore, Mrs. (Amelia Milley)"/>
    <x v="1"/>
    <x v="15"/>
    <n v="0"/>
    <n v="0"/>
    <s v="C.A. 34260"/>
    <n v="10.5"/>
    <s v="F33"/>
    <x v="0"/>
  </r>
  <r>
    <n v="518"/>
    <x v="0"/>
    <x v="0"/>
    <s v="Ryan, Mr. Patrick"/>
    <x v="0"/>
    <x v="4"/>
    <n v="0"/>
    <n v="0"/>
    <n v="371110"/>
    <n v="24.15"/>
    <s v="Unknown"/>
    <x v="2"/>
  </r>
  <r>
    <n v="519"/>
    <x v="1"/>
    <x v="2"/>
    <s v="Angle, Mrs. William A (Florence &quot;Mary&quot; Agnes Hughes)"/>
    <x v="1"/>
    <x v="61"/>
    <n v="1"/>
    <n v="0"/>
    <n v="226875"/>
    <n v="26"/>
    <s v="Unknown"/>
    <x v="0"/>
  </r>
  <r>
    <n v="520"/>
    <x v="0"/>
    <x v="0"/>
    <s v="Pavlovic, Mr. Stefo"/>
    <x v="0"/>
    <x v="34"/>
    <n v="0"/>
    <n v="0"/>
    <n v="349242"/>
    <n v="7.8958000000000004"/>
    <s v="Unknown"/>
    <x v="0"/>
  </r>
  <r>
    <n v="521"/>
    <x v="1"/>
    <x v="1"/>
    <s v="Perreault, Miss. Anne"/>
    <x v="1"/>
    <x v="38"/>
    <n v="0"/>
    <n v="0"/>
    <n v="12749"/>
    <n v="93.5"/>
    <s v="B73"/>
    <x v="0"/>
  </r>
  <r>
    <n v="522"/>
    <x v="0"/>
    <x v="0"/>
    <s v="Vovk, Mr. Janko"/>
    <x v="0"/>
    <x v="0"/>
    <n v="0"/>
    <n v="0"/>
    <n v="349252"/>
    <n v="7.8958000000000004"/>
    <s v="Unknown"/>
    <x v="0"/>
  </r>
  <r>
    <n v="523"/>
    <x v="0"/>
    <x v="0"/>
    <s v="Lahoud, Mr. Sarkis"/>
    <x v="0"/>
    <x v="4"/>
    <n v="0"/>
    <n v="0"/>
    <n v="2624"/>
    <n v="7.2249999999999996"/>
    <s v="Unknown"/>
    <x v="1"/>
  </r>
  <r>
    <n v="524"/>
    <x v="1"/>
    <x v="1"/>
    <s v="Hippach, Mrs. Louis Albert (Ida Sophia Fischer)"/>
    <x v="1"/>
    <x v="56"/>
    <n v="0"/>
    <n v="1"/>
    <n v="111361"/>
    <n v="57.979199999999999"/>
    <s v="B18"/>
    <x v="1"/>
  </r>
  <r>
    <n v="525"/>
    <x v="0"/>
    <x v="0"/>
    <s v="Kassem, Mr. Fared"/>
    <x v="0"/>
    <x v="4"/>
    <n v="0"/>
    <n v="0"/>
    <n v="2700"/>
    <n v="7.2291999999999996"/>
    <s v="Unknown"/>
    <x v="1"/>
  </r>
  <r>
    <n v="526"/>
    <x v="0"/>
    <x v="0"/>
    <s v="Farrell, Mr. James"/>
    <x v="0"/>
    <x v="55"/>
    <n v="0"/>
    <n v="0"/>
    <n v="367232"/>
    <n v="7.75"/>
    <s v="Unknown"/>
    <x v="2"/>
  </r>
  <r>
    <n v="527"/>
    <x v="1"/>
    <x v="2"/>
    <s v="Ridsdale, Miss. Lucy"/>
    <x v="1"/>
    <x v="60"/>
    <n v="0"/>
    <n v="0"/>
    <s v="W./C. 14258"/>
    <n v="10.5"/>
    <s v="Unknown"/>
    <x v="0"/>
  </r>
  <r>
    <n v="528"/>
    <x v="0"/>
    <x v="1"/>
    <s v="Farthing, Mr. John"/>
    <x v="0"/>
    <x v="4"/>
    <n v="0"/>
    <n v="0"/>
    <s v="PC 17483"/>
    <n v="221.7792"/>
    <s v="C95"/>
    <x v="0"/>
  </r>
  <r>
    <n v="529"/>
    <x v="0"/>
    <x v="0"/>
    <s v="Salonen, Mr. Johan Werner"/>
    <x v="0"/>
    <x v="12"/>
    <n v="0"/>
    <n v="0"/>
    <n v="3101296"/>
    <n v="7.9249999999999998"/>
    <s v="Unknown"/>
    <x v="0"/>
  </r>
  <r>
    <n v="530"/>
    <x v="0"/>
    <x v="2"/>
    <s v="Hocking, Mr. Richard George"/>
    <x v="0"/>
    <x v="40"/>
    <n v="2"/>
    <n v="1"/>
    <n v="29104"/>
    <n v="11.5"/>
    <s v="Unknown"/>
    <x v="0"/>
  </r>
  <r>
    <n v="531"/>
    <x v="1"/>
    <x v="2"/>
    <s v="Quick, Miss. Phyllis May"/>
    <x v="1"/>
    <x v="6"/>
    <n v="1"/>
    <n v="1"/>
    <n v="26360"/>
    <n v="26"/>
    <s v="Unknown"/>
    <x v="0"/>
  </r>
  <r>
    <n v="532"/>
    <x v="0"/>
    <x v="0"/>
    <s v="Toufik, Mr. Nakli"/>
    <x v="0"/>
    <x v="4"/>
    <n v="0"/>
    <n v="0"/>
    <n v="2641"/>
    <n v="7.2291999999999996"/>
    <s v="Unknown"/>
    <x v="1"/>
  </r>
  <r>
    <n v="533"/>
    <x v="0"/>
    <x v="0"/>
    <s v="Elias, Mr. Joseph Jr"/>
    <x v="0"/>
    <x v="33"/>
    <n v="1"/>
    <n v="1"/>
    <n v="2690"/>
    <n v="7.2291999999999996"/>
    <s v="Unknown"/>
    <x v="1"/>
  </r>
  <r>
    <n v="534"/>
    <x v="1"/>
    <x v="0"/>
    <s v="Peter, Mrs. Catherine (Catherine Rizk)"/>
    <x v="1"/>
    <x v="4"/>
    <n v="0"/>
    <n v="2"/>
    <n v="2668"/>
    <n v="22.3583"/>
    <s v="Unknown"/>
    <x v="1"/>
  </r>
  <r>
    <n v="535"/>
    <x v="0"/>
    <x v="0"/>
    <s v="Cacic, Miss. Marija"/>
    <x v="1"/>
    <x v="38"/>
    <n v="0"/>
    <n v="0"/>
    <n v="315084"/>
    <n v="8.6624999999999996"/>
    <s v="Unknown"/>
    <x v="0"/>
  </r>
  <r>
    <n v="536"/>
    <x v="1"/>
    <x v="2"/>
    <s v="Hart, Miss. Eva Miriam"/>
    <x v="1"/>
    <x v="25"/>
    <n v="0"/>
    <n v="2"/>
    <s v="F.C.C. 13529"/>
    <n v="26.25"/>
    <s v="Unknown"/>
    <x v="0"/>
  </r>
  <r>
    <n v="537"/>
    <x v="0"/>
    <x v="1"/>
    <s v="Butt, Major. Archibald Willingham"/>
    <x v="0"/>
    <x v="32"/>
    <n v="0"/>
    <n v="0"/>
    <n v="113050"/>
    <n v="26.55"/>
    <s v="B38"/>
    <x v="0"/>
  </r>
  <r>
    <n v="538"/>
    <x v="1"/>
    <x v="1"/>
    <s v="LeRoy, Miss. Bertha"/>
    <x v="1"/>
    <x v="38"/>
    <n v="0"/>
    <n v="0"/>
    <s v="PC 17761"/>
    <n v="106.425"/>
    <s v="Unknown"/>
    <x v="1"/>
  </r>
  <r>
    <n v="539"/>
    <x v="0"/>
    <x v="0"/>
    <s v="Risien, Mr. Samuel Beard"/>
    <x v="0"/>
    <x v="4"/>
    <n v="0"/>
    <n v="0"/>
    <n v="364498"/>
    <n v="14.5"/>
    <s v="Unknown"/>
    <x v="0"/>
  </r>
  <r>
    <n v="540"/>
    <x v="1"/>
    <x v="1"/>
    <s v="Frolicher, Miss. Hedwig Margaritha"/>
    <x v="1"/>
    <x v="0"/>
    <n v="0"/>
    <n v="2"/>
    <n v="13568"/>
    <n v="49.5"/>
    <s v="B39"/>
    <x v="1"/>
  </r>
  <r>
    <n v="541"/>
    <x v="1"/>
    <x v="1"/>
    <s v="Crosby, Miss. Harriet R"/>
    <x v="1"/>
    <x v="61"/>
    <n v="0"/>
    <n v="2"/>
    <s v="WE/P 5735"/>
    <n v="71"/>
    <s v="B22"/>
    <x v="0"/>
  </r>
  <r>
    <n v="542"/>
    <x v="0"/>
    <x v="0"/>
    <s v="Andersson, Miss. Ingeborg Constanzia"/>
    <x v="1"/>
    <x v="51"/>
    <n v="4"/>
    <n v="2"/>
    <n v="347082"/>
    <n v="31.274999999999999"/>
    <s v="Unknown"/>
    <x v="0"/>
  </r>
  <r>
    <n v="543"/>
    <x v="0"/>
    <x v="0"/>
    <s v="Andersson, Miss. Sigrid Elisabeth"/>
    <x v="1"/>
    <x v="31"/>
    <n v="4"/>
    <n v="2"/>
    <n v="347082"/>
    <n v="31.274999999999999"/>
    <s v="Unknown"/>
    <x v="0"/>
  </r>
  <r>
    <n v="544"/>
    <x v="1"/>
    <x v="2"/>
    <s v="Beane, Mr. Edward"/>
    <x v="0"/>
    <x v="34"/>
    <n v="1"/>
    <n v="0"/>
    <n v="2908"/>
    <n v="26"/>
    <s v="Unknown"/>
    <x v="0"/>
  </r>
  <r>
    <n v="545"/>
    <x v="0"/>
    <x v="1"/>
    <s v="Douglas, Mr. Walter Donald"/>
    <x v="0"/>
    <x v="60"/>
    <n v="1"/>
    <n v="0"/>
    <s v="PC 17761"/>
    <n v="106.425"/>
    <s v="C86"/>
    <x v="1"/>
  </r>
  <r>
    <n v="546"/>
    <x v="0"/>
    <x v="1"/>
    <s v="Nicholson, Mr. Arthur Ernest"/>
    <x v="0"/>
    <x v="73"/>
    <n v="0"/>
    <n v="0"/>
    <n v="693"/>
    <n v="26"/>
    <s v="Unknown"/>
    <x v="0"/>
  </r>
  <r>
    <n v="547"/>
    <x v="1"/>
    <x v="2"/>
    <s v="Beane, Mrs. Edward (Ethel Clarke)"/>
    <x v="1"/>
    <x v="18"/>
    <n v="1"/>
    <n v="0"/>
    <n v="2908"/>
    <n v="26"/>
    <s v="Unknown"/>
    <x v="0"/>
  </r>
  <r>
    <n v="548"/>
    <x v="1"/>
    <x v="2"/>
    <s v="Padro y Manent, Mr. Julian"/>
    <x v="0"/>
    <x v="4"/>
    <n v="0"/>
    <n v="0"/>
    <s v="SC/PARIS 2146"/>
    <n v="13.862500000000001"/>
    <s v="Unknown"/>
    <x v="1"/>
  </r>
  <r>
    <n v="549"/>
    <x v="0"/>
    <x v="0"/>
    <s v="Goldsmith, Mr. Frank John"/>
    <x v="0"/>
    <x v="39"/>
    <n v="1"/>
    <n v="1"/>
    <n v="363291"/>
    <n v="20.524999999999999"/>
    <s v="Unknown"/>
    <x v="0"/>
  </r>
  <r>
    <n v="550"/>
    <x v="1"/>
    <x v="2"/>
    <s v="Davies, Master. John Morgan Jr"/>
    <x v="0"/>
    <x v="17"/>
    <n v="1"/>
    <n v="1"/>
    <s v="C.A. 33112"/>
    <n v="36.75"/>
    <s v="Unknown"/>
    <x v="0"/>
  </r>
  <r>
    <n v="551"/>
    <x v="1"/>
    <x v="1"/>
    <s v="Thayer, Mr. John Borland Jr"/>
    <x v="0"/>
    <x v="33"/>
    <n v="0"/>
    <n v="2"/>
    <n v="17421"/>
    <n v="110.88330000000001"/>
    <s v="C70"/>
    <x v="1"/>
  </r>
  <r>
    <n v="552"/>
    <x v="0"/>
    <x v="2"/>
    <s v="Sharp, Mr. Percival James R"/>
    <x v="0"/>
    <x v="7"/>
    <n v="0"/>
    <n v="0"/>
    <n v="244358"/>
    <n v="26"/>
    <s v="Unknown"/>
    <x v="0"/>
  </r>
  <r>
    <n v="553"/>
    <x v="0"/>
    <x v="0"/>
    <s v="O'Brien, Mr. Timothy"/>
    <x v="0"/>
    <x v="4"/>
    <n v="0"/>
    <n v="0"/>
    <n v="330979"/>
    <n v="7.8292000000000002"/>
    <s v="Unknown"/>
    <x v="2"/>
  </r>
  <r>
    <n v="554"/>
    <x v="1"/>
    <x v="0"/>
    <s v="Leeni, Mr. Fahim (&quot;Philip Zenni&quot;)"/>
    <x v="0"/>
    <x v="0"/>
    <n v="0"/>
    <n v="0"/>
    <n v="2620"/>
    <n v="7.2249999999999996"/>
    <s v="Unknown"/>
    <x v="1"/>
  </r>
  <r>
    <n v="555"/>
    <x v="1"/>
    <x v="0"/>
    <s v="Ohman, Miss. Velin"/>
    <x v="1"/>
    <x v="0"/>
    <n v="0"/>
    <n v="0"/>
    <n v="347085"/>
    <n v="7.7750000000000004"/>
    <s v="Unknown"/>
    <x v="0"/>
  </r>
  <r>
    <n v="556"/>
    <x v="0"/>
    <x v="1"/>
    <s v="Wright, Mr. George"/>
    <x v="0"/>
    <x v="64"/>
    <n v="0"/>
    <n v="0"/>
    <n v="113807"/>
    <n v="26.55"/>
    <s v="Unknown"/>
    <x v="0"/>
  </r>
  <r>
    <n v="557"/>
    <x v="1"/>
    <x v="1"/>
    <s v="Duff Gordon, Lady. (Lucille Christiana Sutherland) (&quot;Mrs Morgan&quot;)"/>
    <x v="1"/>
    <x v="75"/>
    <n v="1"/>
    <n v="0"/>
    <n v="11755"/>
    <n v="39.6"/>
    <s v="A16"/>
    <x v="1"/>
  </r>
  <r>
    <n v="558"/>
    <x v="0"/>
    <x v="1"/>
    <s v="Robbins, Mr. Victor"/>
    <x v="0"/>
    <x v="4"/>
    <n v="0"/>
    <n v="0"/>
    <s v="PC 17757"/>
    <n v="227.52500000000001"/>
    <s v="Unknown"/>
    <x v="1"/>
  </r>
  <r>
    <n v="559"/>
    <x v="1"/>
    <x v="1"/>
    <s v="Taussig, Mrs. Emil (Tillie Mandelbaum)"/>
    <x v="1"/>
    <x v="12"/>
    <n v="1"/>
    <n v="1"/>
    <n v="110413"/>
    <n v="79.650000000000006"/>
    <s v="E67"/>
    <x v="0"/>
  </r>
  <r>
    <n v="560"/>
    <x v="1"/>
    <x v="0"/>
    <s v="de Messemaeker, Mrs. Guillaume Joseph (Emma)"/>
    <x v="1"/>
    <x v="61"/>
    <n v="1"/>
    <n v="0"/>
    <n v="345572"/>
    <n v="17.399999999999999"/>
    <s v="Unknown"/>
    <x v="0"/>
  </r>
  <r>
    <n v="561"/>
    <x v="0"/>
    <x v="0"/>
    <s v="Morrow, Mr. Thomas Rowan"/>
    <x v="0"/>
    <x v="4"/>
    <n v="0"/>
    <n v="0"/>
    <n v="372622"/>
    <n v="7.75"/>
    <s v="Unknown"/>
    <x v="2"/>
  </r>
  <r>
    <n v="562"/>
    <x v="0"/>
    <x v="0"/>
    <s v="Sivic, Mr. Husein"/>
    <x v="0"/>
    <x v="19"/>
    <n v="0"/>
    <n v="0"/>
    <n v="349251"/>
    <n v="7.8958000000000004"/>
    <s v="Unknown"/>
    <x v="0"/>
  </r>
  <r>
    <n v="563"/>
    <x v="0"/>
    <x v="2"/>
    <s v="Norman, Mr. Robert Douglas"/>
    <x v="0"/>
    <x v="4"/>
    <n v="0"/>
    <n v="0"/>
    <n v="218629"/>
    <n v="13.5"/>
    <s v="Unknown"/>
    <x v="0"/>
  </r>
  <r>
    <n v="564"/>
    <x v="0"/>
    <x v="0"/>
    <s v="Simmons, Mr. John"/>
    <x v="0"/>
    <x v="4"/>
    <n v="0"/>
    <n v="0"/>
    <s v="SOTON/OQ 392082"/>
    <n v="8.0500000000000007"/>
    <s v="Unknown"/>
    <x v="0"/>
  </r>
  <r>
    <n v="565"/>
    <x v="0"/>
    <x v="0"/>
    <s v="Meanwell, Miss. (Marion Ogden)"/>
    <x v="1"/>
    <x v="4"/>
    <n v="0"/>
    <n v="0"/>
    <s v="SOTON/O.Q. 392087"/>
    <n v="8.0500000000000007"/>
    <s v="Unknown"/>
    <x v="0"/>
  </r>
  <r>
    <n v="566"/>
    <x v="0"/>
    <x v="0"/>
    <s v="Davies, Mr. Alfred J"/>
    <x v="0"/>
    <x v="41"/>
    <n v="2"/>
    <n v="0"/>
    <s v="A/4 48871"/>
    <n v="24.15"/>
    <s v="Unknown"/>
    <x v="0"/>
  </r>
  <r>
    <n v="567"/>
    <x v="0"/>
    <x v="0"/>
    <s v="Stoytcheff, Mr. Ilia"/>
    <x v="0"/>
    <x v="18"/>
    <n v="0"/>
    <n v="0"/>
    <n v="349205"/>
    <n v="7.8958000000000004"/>
    <s v="Unknown"/>
    <x v="0"/>
  </r>
  <r>
    <n v="568"/>
    <x v="0"/>
    <x v="0"/>
    <s v="Palsson, Mrs. Nils (Alma Cornelia Berglund)"/>
    <x v="1"/>
    <x v="27"/>
    <n v="0"/>
    <n v="4"/>
    <n v="349909"/>
    <n v="21.074999999999999"/>
    <s v="Unknown"/>
    <x v="0"/>
  </r>
  <r>
    <n v="569"/>
    <x v="0"/>
    <x v="0"/>
    <s v="Doharr, Mr. Tannous"/>
    <x v="0"/>
    <x v="4"/>
    <n v="0"/>
    <n v="0"/>
    <n v="2686"/>
    <n v="7.2291999999999996"/>
    <s v="Unknown"/>
    <x v="1"/>
  </r>
  <r>
    <n v="570"/>
    <x v="1"/>
    <x v="0"/>
    <s v="Jonsson, Mr. Carl"/>
    <x v="0"/>
    <x v="34"/>
    <n v="0"/>
    <n v="0"/>
    <n v="350417"/>
    <n v="7.8541999999999996"/>
    <s v="Unknown"/>
    <x v="0"/>
  </r>
  <r>
    <n v="571"/>
    <x v="1"/>
    <x v="2"/>
    <s v="Harris, Mr. George"/>
    <x v="0"/>
    <x v="64"/>
    <n v="0"/>
    <n v="0"/>
    <s v="S.W./PP 752"/>
    <n v="10.5"/>
    <s v="Unknown"/>
    <x v="0"/>
  </r>
  <r>
    <n v="572"/>
    <x v="1"/>
    <x v="1"/>
    <s v="Appleton, Mrs. Edward Dale (Charlotte Lamson)"/>
    <x v="1"/>
    <x v="77"/>
    <n v="2"/>
    <n v="0"/>
    <n v="11769"/>
    <n v="51.479199999999999"/>
    <s v="C101"/>
    <x v="0"/>
  </r>
  <r>
    <n v="573"/>
    <x v="1"/>
    <x v="1"/>
    <s v="Flynn, Mr. John Irwin (&quot;Irving&quot;)"/>
    <x v="0"/>
    <x v="61"/>
    <n v="0"/>
    <n v="0"/>
    <s v="PC 17474"/>
    <n v="26.387499999999999"/>
    <s v="E25"/>
    <x v="0"/>
  </r>
  <r>
    <n v="574"/>
    <x v="1"/>
    <x v="0"/>
    <s v="Kelly, Miss. Mary"/>
    <x v="1"/>
    <x v="4"/>
    <n v="0"/>
    <n v="0"/>
    <n v="14312"/>
    <n v="7.75"/>
    <s v="Unknown"/>
    <x v="2"/>
  </r>
  <r>
    <n v="575"/>
    <x v="0"/>
    <x v="0"/>
    <s v="Rush, Mr. Alfred George John"/>
    <x v="0"/>
    <x v="35"/>
    <n v="0"/>
    <n v="0"/>
    <s v="A/4. 20589"/>
    <n v="8.0500000000000007"/>
    <s v="Unknown"/>
    <x v="0"/>
  </r>
  <r>
    <n v="576"/>
    <x v="0"/>
    <x v="0"/>
    <s v="Patchett, Mr. George"/>
    <x v="0"/>
    <x v="18"/>
    <n v="0"/>
    <n v="0"/>
    <n v="358585"/>
    <n v="14.5"/>
    <s v="Unknown"/>
    <x v="0"/>
  </r>
  <r>
    <n v="577"/>
    <x v="1"/>
    <x v="2"/>
    <s v="Garside, Miss. Ethel"/>
    <x v="1"/>
    <x v="15"/>
    <n v="0"/>
    <n v="0"/>
    <n v="243880"/>
    <n v="13"/>
    <s v="Unknown"/>
    <x v="0"/>
  </r>
  <r>
    <n v="578"/>
    <x v="1"/>
    <x v="1"/>
    <s v="Silvey, Mrs. William Baird (Alice Munger)"/>
    <x v="1"/>
    <x v="12"/>
    <n v="1"/>
    <n v="0"/>
    <n v="13507"/>
    <n v="55.9"/>
    <s v="E44"/>
    <x v="0"/>
  </r>
  <r>
    <n v="579"/>
    <x v="0"/>
    <x v="0"/>
    <s v="Caram, Mrs. Joseph (Maria Elias)"/>
    <x v="1"/>
    <x v="4"/>
    <n v="1"/>
    <n v="0"/>
    <n v="2689"/>
    <n v="14.458299999999999"/>
    <s v="Unknown"/>
    <x v="1"/>
  </r>
  <r>
    <n v="580"/>
    <x v="1"/>
    <x v="0"/>
    <s v="Jussila, Mr. Eiriik"/>
    <x v="0"/>
    <x v="34"/>
    <n v="0"/>
    <n v="0"/>
    <s v="STON/O 2. 3101286"/>
    <n v="7.9249999999999998"/>
    <s v="Unknown"/>
    <x v="0"/>
  </r>
  <r>
    <n v="581"/>
    <x v="1"/>
    <x v="2"/>
    <s v="Christy, Miss. Julie Rachel"/>
    <x v="1"/>
    <x v="36"/>
    <n v="1"/>
    <n v="1"/>
    <n v="237789"/>
    <n v="30"/>
    <s v="Unknown"/>
    <x v="0"/>
  </r>
  <r>
    <n v="582"/>
    <x v="1"/>
    <x v="1"/>
    <s v="Thayer, Mrs. John Borland (Marian Longstreth Morris)"/>
    <x v="1"/>
    <x v="12"/>
    <n v="1"/>
    <n v="1"/>
    <n v="17421"/>
    <n v="110.88330000000001"/>
    <s v="C68"/>
    <x v="1"/>
  </r>
  <r>
    <n v="583"/>
    <x v="0"/>
    <x v="2"/>
    <s v="Downton, Mr. William James"/>
    <x v="0"/>
    <x v="5"/>
    <n v="0"/>
    <n v="0"/>
    <n v="28403"/>
    <n v="26"/>
    <s v="Unknown"/>
    <x v="0"/>
  </r>
  <r>
    <n v="584"/>
    <x v="0"/>
    <x v="1"/>
    <s v="Ross, Mr. John Hugo"/>
    <x v="0"/>
    <x v="61"/>
    <n v="0"/>
    <n v="0"/>
    <n v="13049"/>
    <n v="40.125"/>
    <s v="A10"/>
    <x v="1"/>
  </r>
  <r>
    <n v="585"/>
    <x v="0"/>
    <x v="0"/>
    <s v="Paulner, Mr. Uscher"/>
    <x v="0"/>
    <x v="4"/>
    <n v="0"/>
    <n v="0"/>
    <n v="3411"/>
    <n v="8.7125000000000004"/>
    <s v="Unknown"/>
    <x v="1"/>
  </r>
  <r>
    <n v="586"/>
    <x v="1"/>
    <x v="1"/>
    <s v="Taussig, Miss. Ruth"/>
    <x v="1"/>
    <x v="23"/>
    <n v="0"/>
    <n v="2"/>
    <n v="110413"/>
    <n v="79.650000000000006"/>
    <s v="E68"/>
    <x v="0"/>
  </r>
  <r>
    <n v="587"/>
    <x v="0"/>
    <x v="2"/>
    <s v="Jarvis, Mr. John Denzil"/>
    <x v="0"/>
    <x v="46"/>
    <n v="0"/>
    <n v="0"/>
    <n v="237565"/>
    <n v="15"/>
    <s v="Unknown"/>
    <x v="0"/>
  </r>
  <r>
    <n v="588"/>
    <x v="1"/>
    <x v="1"/>
    <s v="Frolicher-Stehli, Mr. Maxmillian"/>
    <x v="0"/>
    <x v="71"/>
    <n v="1"/>
    <n v="1"/>
    <n v="13567"/>
    <n v="79.2"/>
    <s v="B41"/>
    <x v="1"/>
  </r>
  <r>
    <n v="589"/>
    <x v="0"/>
    <x v="0"/>
    <s v="Gilinski, Mr. Eliezer"/>
    <x v="0"/>
    <x v="0"/>
    <n v="0"/>
    <n v="0"/>
    <n v="14973"/>
    <n v="8.0500000000000007"/>
    <s v="Unknown"/>
    <x v="0"/>
  </r>
  <r>
    <n v="590"/>
    <x v="0"/>
    <x v="0"/>
    <s v="Murdlin, Mr. Joseph"/>
    <x v="0"/>
    <x v="4"/>
    <n v="0"/>
    <n v="0"/>
    <s v="A./5. 3235"/>
    <n v="8.0500000000000007"/>
    <s v="Unknown"/>
    <x v="0"/>
  </r>
  <r>
    <n v="591"/>
    <x v="0"/>
    <x v="0"/>
    <s v="Rintamaki, Mr. Matti"/>
    <x v="0"/>
    <x v="3"/>
    <n v="0"/>
    <n v="0"/>
    <s v="STON/O 2. 3101273"/>
    <n v="7.125"/>
    <s v="Unknown"/>
    <x v="0"/>
  </r>
  <r>
    <n v="592"/>
    <x v="1"/>
    <x v="1"/>
    <s v="Stephenson, Mrs. Walter Bertram (Martha Eustis)"/>
    <x v="1"/>
    <x v="66"/>
    <n v="1"/>
    <n v="0"/>
    <n v="36947"/>
    <n v="78.2667"/>
    <s v="D20"/>
    <x v="1"/>
  </r>
  <r>
    <n v="593"/>
    <x v="0"/>
    <x v="0"/>
    <s v="Elsbury, Mr. William James"/>
    <x v="0"/>
    <x v="46"/>
    <n v="0"/>
    <n v="0"/>
    <s v="A/5 3902"/>
    <n v="7.25"/>
    <s v="Unknown"/>
    <x v="0"/>
  </r>
  <r>
    <n v="594"/>
    <x v="0"/>
    <x v="0"/>
    <s v="Bourke, Miss. Mary"/>
    <x v="1"/>
    <x v="4"/>
    <n v="0"/>
    <n v="2"/>
    <n v="364848"/>
    <n v="7.75"/>
    <s v="Unknown"/>
    <x v="2"/>
  </r>
  <r>
    <n v="595"/>
    <x v="0"/>
    <x v="2"/>
    <s v="Chapman, Mr. John Henry"/>
    <x v="0"/>
    <x v="45"/>
    <n v="1"/>
    <n v="0"/>
    <s v="SC/AH 29037"/>
    <n v="26"/>
    <s v="Unknown"/>
    <x v="0"/>
  </r>
  <r>
    <n v="596"/>
    <x v="0"/>
    <x v="0"/>
    <s v="Van Impe, Mr. Jean Baptiste"/>
    <x v="0"/>
    <x v="61"/>
    <n v="1"/>
    <n v="1"/>
    <n v="345773"/>
    <n v="24.15"/>
    <s v="Unknown"/>
    <x v="0"/>
  </r>
  <r>
    <n v="597"/>
    <x v="1"/>
    <x v="2"/>
    <s v="Leitch, Miss. Jessie Wills"/>
    <x v="1"/>
    <x v="4"/>
    <n v="0"/>
    <n v="0"/>
    <n v="248727"/>
    <n v="33"/>
    <s v="Unknown"/>
    <x v="0"/>
  </r>
  <r>
    <n v="598"/>
    <x v="0"/>
    <x v="0"/>
    <s v="Johnson, Mr. Alfred"/>
    <x v="0"/>
    <x v="26"/>
    <n v="0"/>
    <n v="0"/>
    <s v="LINE"/>
    <n v="0"/>
    <s v="Unknown"/>
    <x v="0"/>
  </r>
  <r>
    <n v="599"/>
    <x v="0"/>
    <x v="0"/>
    <s v="Boulos, Mr. Hanna"/>
    <x v="0"/>
    <x v="4"/>
    <n v="0"/>
    <n v="0"/>
    <n v="2664"/>
    <n v="7.2249999999999996"/>
    <s v="Unknown"/>
    <x v="1"/>
  </r>
  <r>
    <n v="600"/>
    <x v="1"/>
    <x v="1"/>
    <s v="Duff Gordon, Sir. Cosmo Edmund (&quot;Mr Morgan&quot;)"/>
    <x v="0"/>
    <x v="26"/>
    <n v="1"/>
    <n v="0"/>
    <s v="PC 17485"/>
    <n v="56.929200000000002"/>
    <s v="A20"/>
    <x v="1"/>
  </r>
  <r>
    <n v="601"/>
    <x v="1"/>
    <x v="2"/>
    <s v="Jacobsohn, Mrs. Sidney Samuel (Amy Frances Christy)"/>
    <x v="1"/>
    <x v="41"/>
    <n v="2"/>
    <n v="1"/>
    <n v="243847"/>
    <n v="27"/>
    <s v="Unknown"/>
    <x v="0"/>
  </r>
  <r>
    <n v="602"/>
    <x v="0"/>
    <x v="0"/>
    <s v="Slabenoff, Mr. Petco"/>
    <x v="0"/>
    <x v="4"/>
    <n v="0"/>
    <n v="0"/>
    <n v="349214"/>
    <n v="7.8958000000000004"/>
    <s v="Unknown"/>
    <x v="0"/>
  </r>
  <r>
    <n v="603"/>
    <x v="0"/>
    <x v="1"/>
    <s v="Harrington, Mr. Charles H"/>
    <x v="0"/>
    <x v="4"/>
    <n v="0"/>
    <n v="0"/>
    <n v="113796"/>
    <n v="42.4"/>
    <s v="Unknown"/>
    <x v="0"/>
  </r>
  <r>
    <n v="604"/>
    <x v="0"/>
    <x v="0"/>
    <s v="Torber, Mr. Ernst William"/>
    <x v="0"/>
    <x v="56"/>
    <n v="0"/>
    <n v="0"/>
    <n v="364511"/>
    <n v="8.0500000000000007"/>
    <s v="Unknown"/>
    <x v="0"/>
  </r>
  <r>
    <n v="605"/>
    <x v="1"/>
    <x v="1"/>
    <s v="Homer, Mr. Harry (&quot;Mr E Haven&quot;)"/>
    <x v="0"/>
    <x v="3"/>
    <n v="0"/>
    <n v="0"/>
    <n v="111426"/>
    <n v="26.55"/>
    <s v="Unknown"/>
    <x v="1"/>
  </r>
  <r>
    <n v="606"/>
    <x v="0"/>
    <x v="0"/>
    <s v="Lindell, Mr. Edvard Bengtsson"/>
    <x v="0"/>
    <x v="61"/>
    <n v="1"/>
    <n v="0"/>
    <n v="349910"/>
    <n v="15.55"/>
    <s v="Unknown"/>
    <x v="0"/>
  </r>
  <r>
    <n v="607"/>
    <x v="0"/>
    <x v="0"/>
    <s v="Karaic, Mr. Milan"/>
    <x v="0"/>
    <x v="38"/>
    <n v="0"/>
    <n v="0"/>
    <n v="349246"/>
    <n v="7.8958000000000004"/>
    <s v="Unknown"/>
    <x v="0"/>
  </r>
  <r>
    <n v="608"/>
    <x v="1"/>
    <x v="1"/>
    <s v="Daniel, Mr. Robert Williams"/>
    <x v="0"/>
    <x v="7"/>
    <n v="0"/>
    <n v="0"/>
    <n v="113804"/>
    <n v="30.5"/>
    <s v="Unknown"/>
    <x v="0"/>
  </r>
  <r>
    <n v="609"/>
    <x v="1"/>
    <x v="2"/>
    <s v="Laroche, Mrs. Joseph (Juliette Marie Louise Lafargue)"/>
    <x v="1"/>
    <x v="0"/>
    <n v="1"/>
    <n v="2"/>
    <s v="SC/Paris 2123"/>
    <n v="41.5792"/>
    <s v="Unknown"/>
    <x v="1"/>
  </r>
  <r>
    <n v="610"/>
    <x v="1"/>
    <x v="1"/>
    <s v="Shutes, Miss. Elizabeth W"/>
    <x v="1"/>
    <x v="19"/>
    <n v="0"/>
    <n v="0"/>
    <s v="PC 17582"/>
    <n v="153.46250000000001"/>
    <s v="C125"/>
    <x v="0"/>
  </r>
  <r>
    <n v="611"/>
    <x v="0"/>
    <x v="0"/>
    <s v="Andersson, Mrs. Anders Johan (Alfrida Konstantia Brogren)"/>
    <x v="1"/>
    <x v="12"/>
    <n v="1"/>
    <n v="5"/>
    <n v="347082"/>
    <n v="31.274999999999999"/>
    <s v="Unknown"/>
    <x v="0"/>
  </r>
  <r>
    <n v="612"/>
    <x v="0"/>
    <x v="0"/>
    <s v="Jardin, Mr. Jose Neto"/>
    <x v="0"/>
    <x v="4"/>
    <n v="0"/>
    <n v="0"/>
    <s v="SOTON/O.Q. 3101305"/>
    <n v="7.05"/>
    <s v="Unknown"/>
    <x v="0"/>
  </r>
  <r>
    <n v="613"/>
    <x v="1"/>
    <x v="0"/>
    <s v="Murphy, Miss. Margaret Jane"/>
    <x v="1"/>
    <x v="4"/>
    <n v="1"/>
    <n v="0"/>
    <n v="367230"/>
    <n v="15.5"/>
    <s v="Unknown"/>
    <x v="2"/>
  </r>
  <r>
    <n v="614"/>
    <x v="0"/>
    <x v="0"/>
    <s v="Horgan, Mr. John"/>
    <x v="0"/>
    <x v="4"/>
    <n v="0"/>
    <n v="0"/>
    <n v="370377"/>
    <n v="7.75"/>
    <s v="Unknown"/>
    <x v="2"/>
  </r>
  <r>
    <n v="615"/>
    <x v="0"/>
    <x v="0"/>
    <s v="Brocklebank, Mr. William Alfred"/>
    <x v="0"/>
    <x v="3"/>
    <n v="0"/>
    <n v="0"/>
    <n v="364512"/>
    <n v="8.0500000000000007"/>
    <s v="Unknown"/>
    <x v="0"/>
  </r>
  <r>
    <n v="616"/>
    <x v="1"/>
    <x v="2"/>
    <s v="Herman, Miss. Alice"/>
    <x v="1"/>
    <x v="41"/>
    <n v="1"/>
    <n v="2"/>
    <n v="220845"/>
    <n v="65"/>
    <s v="Unknown"/>
    <x v="0"/>
  </r>
  <r>
    <n v="617"/>
    <x v="0"/>
    <x v="0"/>
    <s v="Danbom, Mr. Ernst Gilbert"/>
    <x v="0"/>
    <x v="15"/>
    <n v="1"/>
    <n v="1"/>
    <n v="347080"/>
    <n v="14.4"/>
    <s v="Unknown"/>
    <x v="0"/>
  </r>
  <r>
    <n v="618"/>
    <x v="0"/>
    <x v="0"/>
    <s v="Lobb, Mrs. William Arthur (Cordelia K Stanlick)"/>
    <x v="1"/>
    <x v="2"/>
    <n v="1"/>
    <n v="0"/>
    <s v="A/5. 3336"/>
    <n v="16.100000000000001"/>
    <s v="Unknown"/>
    <x v="0"/>
  </r>
  <r>
    <n v="619"/>
    <x v="1"/>
    <x v="2"/>
    <s v="Becker, Miss. Marion Louise"/>
    <x v="1"/>
    <x v="9"/>
    <n v="2"/>
    <n v="1"/>
    <n v="230136"/>
    <n v="39"/>
    <s v="F4"/>
    <x v="0"/>
  </r>
  <r>
    <n v="620"/>
    <x v="0"/>
    <x v="2"/>
    <s v="Gavey, Mr. Lawrence"/>
    <x v="0"/>
    <x v="2"/>
    <n v="0"/>
    <n v="0"/>
    <n v="31028"/>
    <n v="10.5"/>
    <s v="Unknown"/>
    <x v="0"/>
  </r>
  <r>
    <n v="621"/>
    <x v="0"/>
    <x v="0"/>
    <s v="Yasbeck, Mr. Antoni"/>
    <x v="0"/>
    <x v="7"/>
    <n v="1"/>
    <n v="0"/>
    <n v="2659"/>
    <n v="14.4542"/>
    <s v="Unknown"/>
    <x v="1"/>
  </r>
  <r>
    <n v="622"/>
    <x v="1"/>
    <x v="1"/>
    <s v="Kimball, Mr. Edwin Nelson Jr"/>
    <x v="0"/>
    <x v="21"/>
    <n v="1"/>
    <n v="0"/>
    <n v="11753"/>
    <n v="52.554200000000002"/>
    <s v="D19"/>
    <x v="0"/>
  </r>
  <r>
    <n v="623"/>
    <x v="1"/>
    <x v="0"/>
    <s v="Nakid, Mr. Sahid"/>
    <x v="0"/>
    <x v="11"/>
    <n v="1"/>
    <n v="1"/>
    <n v="2653"/>
    <n v="15.7417"/>
    <s v="Unknown"/>
    <x v="1"/>
  </r>
  <r>
    <n v="624"/>
    <x v="0"/>
    <x v="0"/>
    <s v="Hansen, Mr. Henry Damsgaard"/>
    <x v="0"/>
    <x v="22"/>
    <n v="0"/>
    <n v="0"/>
    <n v="350029"/>
    <n v="7.8541999999999996"/>
    <s v="Unknown"/>
    <x v="0"/>
  </r>
  <r>
    <n v="625"/>
    <x v="0"/>
    <x v="0"/>
    <s v="Bowen, Mr. David John &quot;Dai&quot;"/>
    <x v="0"/>
    <x v="22"/>
    <n v="0"/>
    <n v="0"/>
    <n v="54636"/>
    <n v="16.100000000000001"/>
    <s v="Unknown"/>
    <x v="0"/>
  </r>
  <r>
    <n v="626"/>
    <x v="0"/>
    <x v="1"/>
    <s v="Sutton, Mr. Frederick"/>
    <x v="0"/>
    <x v="58"/>
    <n v="0"/>
    <n v="0"/>
    <n v="36963"/>
    <n v="32.320799999999998"/>
    <s v="D50"/>
    <x v="0"/>
  </r>
  <r>
    <n v="627"/>
    <x v="0"/>
    <x v="2"/>
    <s v="Kirkland, Rev. Charles Leonard"/>
    <x v="0"/>
    <x v="78"/>
    <n v="0"/>
    <n v="0"/>
    <n v="219533"/>
    <n v="12.35"/>
    <s v="Unknown"/>
    <x v="2"/>
  </r>
  <r>
    <n v="628"/>
    <x v="1"/>
    <x v="1"/>
    <s v="Longley, Miss. Gretchen Fiske"/>
    <x v="1"/>
    <x v="22"/>
    <n v="0"/>
    <n v="0"/>
    <n v="13502"/>
    <n v="77.958299999999994"/>
    <s v="D9"/>
    <x v="0"/>
  </r>
  <r>
    <n v="629"/>
    <x v="0"/>
    <x v="0"/>
    <s v="Bostandyeff, Mr. Guentcho"/>
    <x v="0"/>
    <x v="2"/>
    <n v="0"/>
    <n v="0"/>
    <n v="349224"/>
    <n v="7.8958000000000004"/>
    <s v="Unknown"/>
    <x v="0"/>
  </r>
  <r>
    <n v="630"/>
    <x v="0"/>
    <x v="0"/>
    <s v="O'Connell, Mr. Patrick D"/>
    <x v="0"/>
    <x v="4"/>
    <n v="0"/>
    <n v="0"/>
    <n v="334912"/>
    <n v="7.7332999999999998"/>
    <s v="Unknown"/>
    <x v="2"/>
  </r>
  <r>
    <n v="631"/>
    <x v="1"/>
    <x v="1"/>
    <s v="Barkworth, Mr. Algernon Henry Wilson"/>
    <x v="0"/>
    <x v="79"/>
    <n v="0"/>
    <n v="0"/>
    <n v="27042"/>
    <n v="30"/>
    <s v="A23"/>
    <x v="0"/>
  </r>
  <r>
    <n v="632"/>
    <x v="0"/>
    <x v="0"/>
    <s v="Lundahl, Mr. Johan Svensson"/>
    <x v="0"/>
    <x v="53"/>
    <n v="0"/>
    <n v="0"/>
    <n v="347743"/>
    <n v="7.0541999999999998"/>
    <s v="Unknown"/>
    <x v="0"/>
  </r>
  <r>
    <n v="633"/>
    <x v="1"/>
    <x v="1"/>
    <s v="Stahelin-Maeglin, Dr. Max"/>
    <x v="0"/>
    <x v="34"/>
    <n v="0"/>
    <n v="0"/>
    <n v="13214"/>
    <n v="30.5"/>
    <s v="B50"/>
    <x v="1"/>
  </r>
  <r>
    <n v="634"/>
    <x v="0"/>
    <x v="1"/>
    <s v="Parr, Mr. William Henry Marsh"/>
    <x v="0"/>
    <x v="4"/>
    <n v="0"/>
    <n v="0"/>
    <n v="112052"/>
    <n v="0"/>
    <s v="Unknown"/>
    <x v="0"/>
  </r>
  <r>
    <n v="635"/>
    <x v="0"/>
    <x v="0"/>
    <s v="Skoog, Miss. Mabel"/>
    <x v="1"/>
    <x v="51"/>
    <n v="3"/>
    <n v="2"/>
    <n v="347088"/>
    <n v="27.9"/>
    <s v="Unknown"/>
    <x v="0"/>
  </r>
  <r>
    <n v="636"/>
    <x v="1"/>
    <x v="2"/>
    <s v="Davis, Miss. Mary"/>
    <x v="1"/>
    <x v="4"/>
    <n v="0"/>
    <n v="0"/>
    <n v="237668"/>
    <n v="13"/>
    <s v="Unknown"/>
    <x v="0"/>
  </r>
  <r>
    <n v="637"/>
    <x v="0"/>
    <x v="0"/>
    <s v="Leinonen, Mr. Antti Gustaf"/>
    <x v="0"/>
    <x v="34"/>
    <n v="0"/>
    <n v="0"/>
    <s v="STON/O 2. 3101292"/>
    <n v="7.9249999999999998"/>
    <s v="Unknown"/>
    <x v="0"/>
  </r>
  <r>
    <n v="638"/>
    <x v="0"/>
    <x v="2"/>
    <s v="Collyer, Mr. Harvey"/>
    <x v="0"/>
    <x v="14"/>
    <n v="1"/>
    <n v="1"/>
    <s v="C.A. 31921"/>
    <n v="26.25"/>
    <s v="Unknown"/>
    <x v="0"/>
  </r>
  <r>
    <n v="639"/>
    <x v="0"/>
    <x v="0"/>
    <s v="Panula, Mrs. Juha (Maria Emilia Ojala)"/>
    <x v="1"/>
    <x v="65"/>
    <n v="0"/>
    <n v="5"/>
    <n v="3101295"/>
    <n v="39.6875"/>
    <s v="Unknown"/>
    <x v="0"/>
  </r>
  <r>
    <n v="640"/>
    <x v="0"/>
    <x v="0"/>
    <s v="Thorneycroft, Mr. Percival"/>
    <x v="0"/>
    <x v="4"/>
    <n v="1"/>
    <n v="0"/>
    <n v="376564"/>
    <n v="16.100000000000001"/>
    <s v="Unknown"/>
    <x v="0"/>
  </r>
  <r>
    <n v="641"/>
    <x v="0"/>
    <x v="0"/>
    <s v="Jensen, Mr. Hans Peder"/>
    <x v="0"/>
    <x v="11"/>
    <n v="0"/>
    <n v="0"/>
    <n v="350050"/>
    <n v="7.8541999999999996"/>
    <s v="Unknown"/>
    <x v="0"/>
  </r>
  <r>
    <n v="642"/>
    <x v="1"/>
    <x v="1"/>
    <s v="Sagesser, Mlle. Emma"/>
    <x v="1"/>
    <x v="41"/>
    <n v="0"/>
    <n v="0"/>
    <s v="PC 17477"/>
    <n v="69.3"/>
    <s v="B35"/>
    <x v="1"/>
  </r>
  <r>
    <n v="643"/>
    <x v="0"/>
    <x v="0"/>
    <s v="Skoog, Miss. Margit Elizabeth"/>
    <x v="1"/>
    <x v="6"/>
    <n v="3"/>
    <n v="2"/>
    <n v="347088"/>
    <n v="27.9"/>
    <s v="Unknown"/>
    <x v="0"/>
  </r>
  <r>
    <n v="644"/>
    <x v="1"/>
    <x v="0"/>
    <s v="Foo, Mr. Choong"/>
    <x v="0"/>
    <x v="4"/>
    <n v="0"/>
    <n v="0"/>
    <n v="1601"/>
    <n v="56.495800000000003"/>
    <s v="Unknown"/>
    <x v="0"/>
  </r>
  <r>
    <n v="645"/>
    <x v="1"/>
    <x v="0"/>
    <s v="Baclini, Miss. Eugenie"/>
    <x v="1"/>
    <x v="76"/>
    <n v="2"/>
    <n v="1"/>
    <n v="2666"/>
    <n v="19.258299999999998"/>
    <s v="Unknown"/>
    <x v="1"/>
  </r>
  <r>
    <n v="646"/>
    <x v="1"/>
    <x v="1"/>
    <s v="Harper, Mr. Henry Sleeper"/>
    <x v="0"/>
    <x v="75"/>
    <n v="1"/>
    <n v="0"/>
    <s v="PC 17572"/>
    <n v="76.729200000000006"/>
    <s v="D33"/>
    <x v="1"/>
  </r>
  <r>
    <n v="647"/>
    <x v="0"/>
    <x v="0"/>
    <s v="Cor, Mr. Liudevit"/>
    <x v="0"/>
    <x v="18"/>
    <n v="0"/>
    <n v="0"/>
    <n v="349231"/>
    <n v="7.8958000000000004"/>
    <s v="Unknown"/>
    <x v="0"/>
  </r>
  <r>
    <n v="648"/>
    <x v="1"/>
    <x v="1"/>
    <s v="Simonius-Blumer, Col. Oberst Alfons"/>
    <x v="0"/>
    <x v="59"/>
    <n v="0"/>
    <n v="0"/>
    <n v="13213"/>
    <n v="35.5"/>
    <s v="A26"/>
    <x v="1"/>
  </r>
  <r>
    <n v="649"/>
    <x v="0"/>
    <x v="0"/>
    <s v="Willey, Mr. Edward"/>
    <x v="0"/>
    <x v="4"/>
    <n v="0"/>
    <n v="0"/>
    <s v="S.O./P.P. 751"/>
    <n v="7.55"/>
    <s v="Unknown"/>
    <x v="0"/>
  </r>
  <r>
    <n v="650"/>
    <x v="1"/>
    <x v="0"/>
    <s v="Stanley, Miss. Amy Zillah Elsie"/>
    <x v="1"/>
    <x v="40"/>
    <n v="0"/>
    <n v="0"/>
    <s v="CA. 2314"/>
    <n v="7.55"/>
    <s v="Unknown"/>
    <x v="0"/>
  </r>
  <r>
    <n v="651"/>
    <x v="0"/>
    <x v="0"/>
    <s v="Mitkoff, Mr. Mito"/>
    <x v="0"/>
    <x v="4"/>
    <n v="0"/>
    <n v="0"/>
    <n v="349221"/>
    <n v="7.8958000000000004"/>
    <s v="Unknown"/>
    <x v="0"/>
  </r>
  <r>
    <n v="652"/>
    <x v="1"/>
    <x v="2"/>
    <s v="Doling, Miss. Elsie"/>
    <x v="1"/>
    <x v="23"/>
    <n v="0"/>
    <n v="1"/>
    <n v="231919"/>
    <n v="23"/>
    <s v="Unknown"/>
    <x v="0"/>
  </r>
  <r>
    <n v="653"/>
    <x v="0"/>
    <x v="0"/>
    <s v="Kalvik, Mr. Johannes Halvorsen"/>
    <x v="0"/>
    <x v="22"/>
    <n v="0"/>
    <n v="0"/>
    <n v="8475"/>
    <n v="8.4332999999999991"/>
    <s v="Unknown"/>
    <x v="0"/>
  </r>
  <r>
    <n v="654"/>
    <x v="1"/>
    <x v="0"/>
    <s v="O'Leary, Miss. Hanora &quot;Norah&quot;"/>
    <x v="1"/>
    <x v="4"/>
    <n v="0"/>
    <n v="0"/>
    <n v="330919"/>
    <n v="7.8292000000000002"/>
    <s v="Unknown"/>
    <x v="2"/>
  </r>
  <r>
    <n v="655"/>
    <x v="0"/>
    <x v="0"/>
    <s v="Hegarty, Miss. Hanora &quot;Nora&quot;"/>
    <x v="1"/>
    <x v="23"/>
    <n v="0"/>
    <n v="0"/>
    <n v="365226"/>
    <n v="6.75"/>
    <s v="Unknown"/>
    <x v="2"/>
  </r>
  <r>
    <n v="656"/>
    <x v="0"/>
    <x v="2"/>
    <s v="Hickman, Mr. Leonard Mark"/>
    <x v="0"/>
    <x v="41"/>
    <n v="2"/>
    <n v="0"/>
    <s v="S.O.C. 14879"/>
    <n v="73.5"/>
    <s v="Unknown"/>
    <x v="0"/>
  </r>
  <r>
    <n v="657"/>
    <x v="0"/>
    <x v="0"/>
    <s v="Radeff, Mr. Alexander"/>
    <x v="0"/>
    <x v="4"/>
    <n v="0"/>
    <n v="0"/>
    <n v="349223"/>
    <n v="7.8958000000000004"/>
    <s v="Unknown"/>
    <x v="0"/>
  </r>
  <r>
    <n v="658"/>
    <x v="0"/>
    <x v="0"/>
    <s v="Bourke, Mrs. John (Catherine)"/>
    <x v="1"/>
    <x v="34"/>
    <n v="1"/>
    <n v="1"/>
    <n v="364849"/>
    <n v="15.5"/>
    <s v="Unknown"/>
    <x v="2"/>
  </r>
  <r>
    <n v="659"/>
    <x v="0"/>
    <x v="2"/>
    <s v="Eitemiller, Mr. George Floyd"/>
    <x v="0"/>
    <x v="40"/>
    <n v="0"/>
    <n v="0"/>
    <n v="29751"/>
    <n v="13"/>
    <s v="Unknown"/>
    <x v="0"/>
  </r>
  <r>
    <n v="660"/>
    <x v="0"/>
    <x v="1"/>
    <s v="Newell, Mr. Arthur Webster"/>
    <x v="0"/>
    <x v="10"/>
    <n v="0"/>
    <n v="2"/>
    <n v="35273"/>
    <n v="113.27500000000001"/>
    <s v="D48"/>
    <x v="1"/>
  </r>
  <r>
    <n v="661"/>
    <x v="1"/>
    <x v="1"/>
    <s v="Frauenthal, Dr. Henry William"/>
    <x v="0"/>
    <x v="60"/>
    <n v="2"/>
    <n v="0"/>
    <s v="PC 17611"/>
    <n v="133.65"/>
    <s v="Unknown"/>
    <x v="0"/>
  </r>
  <r>
    <n v="662"/>
    <x v="0"/>
    <x v="0"/>
    <s v="Badt, Mr. Mohamed"/>
    <x v="0"/>
    <x v="19"/>
    <n v="0"/>
    <n v="0"/>
    <n v="2623"/>
    <n v="7.2249999999999996"/>
    <s v="Unknown"/>
    <x v="1"/>
  </r>
  <r>
    <n v="663"/>
    <x v="0"/>
    <x v="1"/>
    <s v="Colley, Mr. Edward Pomeroy"/>
    <x v="0"/>
    <x v="46"/>
    <n v="0"/>
    <n v="0"/>
    <n v="5727"/>
    <n v="25.587499999999999"/>
    <s v="E58"/>
    <x v="0"/>
  </r>
  <r>
    <n v="664"/>
    <x v="0"/>
    <x v="0"/>
    <s v="Coleff, Mr. Peju"/>
    <x v="0"/>
    <x v="61"/>
    <n v="0"/>
    <n v="0"/>
    <n v="349210"/>
    <n v="7.4958"/>
    <s v="Unknown"/>
    <x v="0"/>
  </r>
  <r>
    <n v="665"/>
    <x v="1"/>
    <x v="0"/>
    <s v="Lindqvist, Mr. Eino William"/>
    <x v="0"/>
    <x v="11"/>
    <n v="1"/>
    <n v="0"/>
    <s v="STON/O 2. 3101285"/>
    <n v="7.9249999999999998"/>
    <s v="Unknown"/>
    <x v="0"/>
  </r>
  <r>
    <n v="666"/>
    <x v="0"/>
    <x v="2"/>
    <s v="Hickman, Mr. Lewis"/>
    <x v="0"/>
    <x v="34"/>
    <n v="2"/>
    <n v="0"/>
    <s v="S.O.C. 14879"/>
    <n v="73.5"/>
    <s v="Unknown"/>
    <x v="0"/>
  </r>
  <r>
    <n v="667"/>
    <x v="0"/>
    <x v="2"/>
    <s v="Butler, Mr. Reginald Fenton"/>
    <x v="0"/>
    <x v="36"/>
    <n v="0"/>
    <n v="0"/>
    <n v="234686"/>
    <n v="13"/>
    <s v="Unknown"/>
    <x v="0"/>
  </r>
  <r>
    <n v="668"/>
    <x v="0"/>
    <x v="0"/>
    <s v="Rommetvedt, Mr. Knud Paust"/>
    <x v="0"/>
    <x v="4"/>
    <n v="0"/>
    <n v="0"/>
    <n v="312993"/>
    <n v="7.7750000000000004"/>
    <s v="Unknown"/>
    <x v="0"/>
  </r>
  <r>
    <n v="669"/>
    <x v="0"/>
    <x v="0"/>
    <s v="Cook, Mr. Jacob"/>
    <x v="0"/>
    <x v="70"/>
    <n v="0"/>
    <n v="0"/>
    <s v="A/5 3536"/>
    <n v="8.0500000000000007"/>
    <s v="Unknown"/>
    <x v="0"/>
  </r>
  <r>
    <n v="670"/>
    <x v="1"/>
    <x v="1"/>
    <s v="Taylor, Mrs. Elmer Zebley (Juliet Cummins Wright)"/>
    <x v="1"/>
    <x v="4"/>
    <n v="1"/>
    <n v="0"/>
    <n v="19996"/>
    <n v="52"/>
    <s v="C126"/>
    <x v="0"/>
  </r>
  <r>
    <n v="671"/>
    <x v="1"/>
    <x v="2"/>
    <s v="Brown, Mrs. Thomas William Solomon (Elizabeth Catherine Ford)"/>
    <x v="1"/>
    <x v="19"/>
    <n v="1"/>
    <n v="1"/>
    <n v="29750"/>
    <n v="39"/>
    <s v="Unknown"/>
    <x v="0"/>
  </r>
  <r>
    <n v="672"/>
    <x v="0"/>
    <x v="1"/>
    <s v="Davidson, Mr. Thornton"/>
    <x v="0"/>
    <x v="14"/>
    <n v="1"/>
    <n v="0"/>
    <s v="F.C. 12750"/>
    <n v="52"/>
    <s v="B71"/>
    <x v="0"/>
  </r>
  <r>
    <n v="673"/>
    <x v="0"/>
    <x v="2"/>
    <s v="Mitchell, Mr. Henry Michael"/>
    <x v="0"/>
    <x v="80"/>
    <n v="0"/>
    <n v="0"/>
    <s v="C.A. 24580"/>
    <n v="10.5"/>
    <s v="Unknown"/>
    <x v="0"/>
  </r>
  <r>
    <n v="674"/>
    <x v="1"/>
    <x v="2"/>
    <s v="Wilhelms, Mr. Charles"/>
    <x v="0"/>
    <x v="14"/>
    <n v="0"/>
    <n v="0"/>
    <n v="244270"/>
    <n v="13"/>
    <s v="Unknown"/>
    <x v="0"/>
  </r>
  <r>
    <n v="675"/>
    <x v="0"/>
    <x v="2"/>
    <s v="Watson, Mr. Ennis Hastings"/>
    <x v="0"/>
    <x v="4"/>
    <n v="0"/>
    <n v="0"/>
    <n v="239856"/>
    <n v="0"/>
    <s v="Unknown"/>
    <x v="0"/>
  </r>
  <r>
    <n v="676"/>
    <x v="0"/>
    <x v="0"/>
    <s v="Edvardsson, Mr. Gustaf Hjalmar"/>
    <x v="0"/>
    <x v="23"/>
    <n v="0"/>
    <n v="0"/>
    <n v="349912"/>
    <n v="7.7750000000000004"/>
    <s v="Unknown"/>
    <x v="0"/>
  </r>
  <r>
    <n v="677"/>
    <x v="0"/>
    <x v="0"/>
    <s v="Sawyer, Mr. Frederick Charles"/>
    <x v="0"/>
    <x v="81"/>
    <n v="0"/>
    <n v="0"/>
    <n v="342826"/>
    <n v="8.0500000000000007"/>
    <s v="Unknown"/>
    <x v="0"/>
  </r>
  <r>
    <n v="678"/>
    <x v="1"/>
    <x v="0"/>
    <s v="Turja, Miss. Anna Sofia"/>
    <x v="1"/>
    <x v="23"/>
    <n v="0"/>
    <n v="0"/>
    <n v="4138"/>
    <n v="9.8416999999999994"/>
    <s v="Unknown"/>
    <x v="0"/>
  </r>
  <r>
    <n v="679"/>
    <x v="0"/>
    <x v="0"/>
    <s v="Goodwin, Mrs. Frederick (Augusta Tyler)"/>
    <x v="1"/>
    <x v="70"/>
    <n v="1"/>
    <n v="6"/>
    <s v="CA 2144"/>
    <n v="46.9"/>
    <s v="Unknown"/>
    <x v="0"/>
  </r>
  <r>
    <n v="680"/>
    <x v="1"/>
    <x v="1"/>
    <s v="Cardeza, Mr. Thomas Drake Martinez"/>
    <x v="0"/>
    <x v="61"/>
    <n v="0"/>
    <n v="1"/>
    <s v="PC 17755"/>
    <n v="512.32920000000001"/>
    <s v="B51 B53 B55"/>
    <x v="1"/>
  </r>
  <r>
    <n v="681"/>
    <x v="0"/>
    <x v="0"/>
    <s v="Peters, Miss. Katie"/>
    <x v="1"/>
    <x v="4"/>
    <n v="0"/>
    <n v="0"/>
    <n v="330935"/>
    <n v="8.1374999999999993"/>
    <s v="Unknown"/>
    <x v="2"/>
  </r>
  <r>
    <n v="682"/>
    <x v="1"/>
    <x v="1"/>
    <s v="Hassab, Mr. Hammad"/>
    <x v="0"/>
    <x v="7"/>
    <n v="0"/>
    <n v="0"/>
    <s v="PC 17572"/>
    <n v="76.729200000000006"/>
    <s v="D49"/>
    <x v="1"/>
  </r>
  <r>
    <n v="683"/>
    <x v="0"/>
    <x v="0"/>
    <s v="Olsvigen, Mr. Thor Anderson"/>
    <x v="0"/>
    <x v="11"/>
    <n v="0"/>
    <n v="0"/>
    <n v="6563"/>
    <n v="9.2249999999999996"/>
    <s v="Unknown"/>
    <x v="0"/>
  </r>
  <r>
    <n v="684"/>
    <x v="0"/>
    <x v="0"/>
    <s v="Goodwin, Mr. Charles Edward"/>
    <x v="0"/>
    <x v="8"/>
    <n v="5"/>
    <n v="2"/>
    <s v="CA 2144"/>
    <n v="46.9"/>
    <s v="Unknown"/>
    <x v="0"/>
  </r>
  <r>
    <n v="685"/>
    <x v="0"/>
    <x v="2"/>
    <s v="Brown, Mr. Thomas William Solomon"/>
    <x v="0"/>
    <x v="71"/>
    <n v="1"/>
    <n v="1"/>
    <n v="29750"/>
    <n v="39"/>
    <s v="Unknown"/>
    <x v="0"/>
  </r>
  <r>
    <n v="686"/>
    <x v="0"/>
    <x v="2"/>
    <s v="Laroche, Mr. Joseph Philippe Lemercier"/>
    <x v="0"/>
    <x v="36"/>
    <n v="1"/>
    <n v="2"/>
    <s v="SC/Paris 2123"/>
    <n v="41.5792"/>
    <s v="Unknown"/>
    <x v="1"/>
  </r>
  <r>
    <n v="687"/>
    <x v="0"/>
    <x v="0"/>
    <s v="Panula, Mr. Jaako Arnold"/>
    <x v="0"/>
    <x v="8"/>
    <n v="4"/>
    <n v="1"/>
    <n v="3101295"/>
    <n v="39.6875"/>
    <s v="Unknown"/>
    <x v="0"/>
  </r>
  <r>
    <n v="688"/>
    <x v="0"/>
    <x v="0"/>
    <s v="Dakic, Mr. Branko"/>
    <x v="0"/>
    <x v="18"/>
    <n v="0"/>
    <n v="0"/>
    <n v="349228"/>
    <n v="10.1708"/>
    <s v="Unknown"/>
    <x v="0"/>
  </r>
  <r>
    <n v="689"/>
    <x v="0"/>
    <x v="0"/>
    <s v="Fischer, Mr. Eberhard Thelander"/>
    <x v="0"/>
    <x v="23"/>
    <n v="0"/>
    <n v="0"/>
    <n v="350036"/>
    <n v="7.7957999999999998"/>
    <s v="Unknown"/>
    <x v="0"/>
  </r>
  <r>
    <n v="690"/>
    <x v="1"/>
    <x v="1"/>
    <s v="Madill, Miss. Georgette Alexandra"/>
    <x v="1"/>
    <x v="16"/>
    <n v="0"/>
    <n v="1"/>
    <n v="24160"/>
    <n v="211.33750000000001"/>
    <s v="B5"/>
    <x v="0"/>
  </r>
  <r>
    <n v="691"/>
    <x v="1"/>
    <x v="1"/>
    <s v="Dick, Mr. Albert Adrian"/>
    <x v="0"/>
    <x v="14"/>
    <n v="1"/>
    <n v="0"/>
    <n v="17474"/>
    <n v="57"/>
    <s v="B20"/>
    <x v="0"/>
  </r>
  <r>
    <n v="692"/>
    <x v="1"/>
    <x v="0"/>
    <s v="Karun, Miss. Manca"/>
    <x v="1"/>
    <x v="9"/>
    <n v="0"/>
    <n v="1"/>
    <n v="349256"/>
    <n v="13.416700000000001"/>
    <s v="Unknown"/>
    <x v="1"/>
  </r>
  <r>
    <n v="693"/>
    <x v="1"/>
    <x v="0"/>
    <s v="Lam, Mr. Ali"/>
    <x v="0"/>
    <x v="4"/>
    <n v="0"/>
    <n v="0"/>
    <n v="1601"/>
    <n v="56.495800000000003"/>
    <s v="Unknown"/>
    <x v="0"/>
  </r>
  <r>
    <n v="694"/>
    <x v="0"/>
    <x v="0"/>
    <s v="Saad, Mr. Khalil"/>
    <x v="0"/>
    <x v="36"/>
    <n v="0"/>
    <n v="0"/>
    <n v="2672"/>
    <n v="7.2249999999999996"/>
    <s v="Unknown"/>
    <x v="1"/>
  </r>
  <r>
    <n v="695"/>
    <x v="0"/>
    <x v="1"/>
    <s v="Weir, Col. John"/>
    <x v="0"/>
    <x v="71"/>
    <n v="0"/>
    <n v="0"/>
    <n v="113800"/>
    <n v="26.55"/>
    <s v="Unknown"/>
    <x v="0"/>
  </r>
  <r>
    <n v="696"/>
    <x v="0"/>
    <x v="2"/>
    <s v="Chapman, Mr. Charles Henry"/>
    <x v="0"/>
    <x v="66"/>
    <n v="0"/>
    <n v="0"/>
    <n v="248731"/>
    <n v="13.5"/>
    <s v="Unknown"/>
    <x v="0"/>
  </r>
  <r>
    <n v="697"/>
    <x v="0"/>
    <x v="0"/>
    <s v="Kelly, Mr. James"/>
    <x v="0"/>
    <x v="56"/>
    <n v="0"/>
    <n v="0"/>
    <n v="363592"/>
    <n v="8.0500000000000007"/>
    <s v="Unknown"/>
    <x v="0"/>
  </r>
  <r>
    <n v="698"/>
    <x v="1"/>
    <x v="0"/>
    <s v="Mullens, Miss. Katherine &quot;Katie&quot;"/>
    <x v="1"/>
    <x v="4"/>
    <n v="0"/>
    <n v="0"/>
    <n v="35852"/>
    <n v="7.7332999999999998"/>
    <s v="Unknown"/>
    <x v="2"/>
  </r>
  <r>
    <n v="699"/>
    <x v="0"/>
    <x v="1"/>
    <s v="Thayer, Mr. John Borland"/>
    <x v="0"/>
    <x v="26"/>
    <n v="1"/>
    <n v="1"/>
    <n v="17421"/>
    <n v="110.88330000000001"/>
    <s v="C68"/>
    <x v="1"/>
  </r>
  <r>
    <n v="700"/>
    <x v="0"/>
    <x v="0"/>
    <s v="Humblen, Mr. Adolf Mathias Nicolai Olsen"/>
    <x v="0"/>
    <x v="21"/>
    <n v="0"/>
    <n v="0"/>
    <n v="348121"/>
    <n v="7.65"/>
    <s v="F G63"/>
    <x v="0"/>
  </r>
  <r>
    <n v="701"/>
    <x v="1"/>
    <x v="1"/>
    <s v="Astor, Mrs. John Jacob (Madeleine Talmadge Force)"/>
    <x v="1"/>
    <x v="23"/>
    <n v="1"/>
    <n v="0"/>
    <s v="PC 17757"/>
    <n v="227.52500000000001"/>
    <s v="C62 C64"/>
    <x v="1"/>
  </r>
  <r>
    <n v="702"/>
    <x v="1"/>
    <x v="1"/>
    <s v="Silverthorne, Mr. Spencer Victor"/>
    <x v="0"/>
    <x v="3"/>
    <n v="0"/>
    <n v="0"/>
    <s v="PC 17475"/>
    <n v="26.287500000000001"/>
    <s v="E24"/>
    <x v="0"/>
  </r>
  <r>
    <n v="703"/>
    <x v="0"/>
    <x v="0"/>
    <s v="Barbara, Miss. Saiide"/>
    <x v="1"/>
    <x v="23"/>
    <n v="0"/>
    <n v="1"/>
    <n v="2691"/>
    <n v="14.4542"/>
    <s v="Unknown"/>
    <x v="1"/>
  </r>
  <r>
    <n v="704"/>
    <x v="0"/>
    <x v="0"/>
    <s v="Gallagher, Mr. Martin"/>
    <x v="0"/>
    <x v="36"/>
    <n v="0"/>
    <n v="0"/>
    <n v="36864"/>
    <n v="7.7416999999999998"/>
    <s v="Unknown"/>
    <x v="2"/>
  </r>
  <r>
    <n v="705"/>
    <x v="0"/>
    <x v="0"/>
    <s v="Hansen, Mr. Henrik Juul"/>
    <x v="0"/>
    <x v="2"/>
    <n v="1"/>
    <n v="0"/>
    <n v="350025"/>
    <n v="7.8541999999999996"/>
    <s v="Unknown"/>
    <x v="0"/>
  </r>
  <r>
    <n v="706"/>
    <x v="0"/>
    <x v="2"/>
    <s v="Morley, Mr. Henry Samuel (&quot;Mr Henry Marshall&quot;)"/>
    <x v="0"/>
    <x v="12"/>
    <n v="0"/>
    <n v="0"/>
    <n v="250655"/>
    <n v="26"/>
    <s v="Unknown"/>
    <x v="0"/>
  </r>
  <r>
    <n v="707"/>
    <x v="1"/>
    <x v="2"/>
    <s v="Kelly, Mrs. Florence &quot;Fannie&quot;"/>
    <x v="1"/>
    <x v="32"/>
    <n v="0"/>
    <n v="0"/>
    <n v="223596"/>
    <n v="13.5"/>
    <s v="Unknown"/>
    <x v="0"/>
  </r>
  <r>
    <n v="708"/>
    <x v="1"/>
    <x v="1"/>
    <s v="Calderhead, Mr. Edward Pennington"/>
    <x v="0"/>
    <x v="21"/>
    <n v="0"/>
    <n v="0"/>
    <s v="PC 17476"/>
    <n v="26.287500000000001"/>
    <s v="E24"/>
    <x v="0"/>
  </r>
  <r>
    <n v="709"/>
    <x v="1"/>
    <x v="1"/>
    <s v="Cleaver, Miss. Alice"/>
    <x v="1"/>
    <x v="0"/>
    <n v="0"/>
    <n v="0"/>
    <n v="113781"/>
    <n v="151.55000000000001"/>
    <s v="Unknown"/>
    <x v="0"/>
  </r>
  <r>
    <n v="710"/>
    <x v="1"/>
    <x v="0"/>
    <s v="Moubarek, Master. Halim Gonios (&quot;William George&quot;)"/>
    <x v="0"/>
    <x v="4"/>
    <n v="1"/>
    <n v="1"/>
    <n v="2661"/>
    <n v="15.245799999999999"/>
    <s v="Unknown"/>
    <x v="1"/>
  </r>
  <r>
    <n v="711"/>
    <x v="1"/>
    <x v="1"/>
    <s v="Mayne, Mlle. Berthe Antonine (&quot;Mrs de Villiers&quot;)"/>
    <x v="1"/>
    <x v="41"/>
    <n v="0"/>
    <n v="0"/>
    <s v="PC 17482"/>
    <n v="49.504199999999997"/>
    <s v="C90"/>
    <x v="1"/>
  </r>
  <r>
    <n v="712"/>
    <x v="0"/>
    <x v="1"/>
    <s v="Klaber, Mr. Herman"/>
    <x v="0"/>
    <x v="4"/>
    <n v="0"/>
    <n v="0"/>
    <n v="113028"/>
    <n v="26.55"/>
    <s v="C124"/>
    <x v="0"/>
  </r>
  <r>
    <n v="713"/>
    <x v="1"/>
    <x v="1"/>
    <s v="Taylor, Mr. Elmer Zebley"/>
    <x v="0"/>
    <x v="75"/>
    <n v="1"/>
    <n v="0"/>
    <n v="19996"/>
    <n v="52"/>
    <s v="C126"/>
    <x v="0"/>
  </r>
  <r>
    <n v="714"/>
    <x v="0"/>
    <x v="0"/>
    <s v="Larsson, Mr. August Viktor"/>
    <x v="0"/>
    <x v="27"/>
    <n v="0"/>
    <n v="0"/>
    <n v="7545"/>
    <n v="9.4832999999999998"/>
    <s v="Unknown"/>
    <x v="0"/>
  </r>
  <r>
    <n v="715"/>
    <x v="0"/>
    <x v="2"/>
    <s v="Greenberg, Mr. Samuel"/>
    <x v="0"/>
    <x v="66"/>
    <n v="0"/>
    <n v="0"/>
    <n v="250647"/>
    <n v="13"/>
    <s v="Unknown"/>
    <x v="0"/>
  </r>
  <r>
    <n v="716"/>
    <x v="0"/>
    <x v="0"/>
    <s v="Soholt, Mr. Peter Andreas Lauritz Andersen"/>
    <x v="0"/>
    <x v="18"/>
    <n v="0"/>
    <n v="0"/>
    <n v="348124"/>
    <n v="7.65"/>
    <s v="F G73"/>
    <x v="0"/>
  </r>
  <r>
    <n v="717"/>
    <x v="1"/>
    <x v="1"/>
    <s v="Endres, Miss. Caroline Louise"/>
    <x v="1"/>
    <x v="1"/>
    <n v="0"/>
    <n v="0"/>
    <s v="PC 17757"/>
    <n v="227.52500000000001"/>
    <s v="C45"/>
    <x v="1"/>
  </r>
  <r>
    <n v="718"/>
    <x v="1"/>
    <x v="2"/>
    <s v="Troutt, Miss. Edwina Celia &quot;Winnie&quot;"/>
    <x v="1"/>
    <x v="7"/>
    <n v="0"/>
    <n v="0"/>
    <n v="34218"/>
    <n v="10.5"/>
    <s v="E101"/>
    <x v="0"/>
  </r>
  <r>
    <n v="719"/>
    <x v="0"/>
    <x v="0"/>
    <s v="McEvoy, Mr. Michael"/>
    <x v="0"/>
    <x v="4"/>
    <n v="0"/>
    <n v="0"/>
    <n v="36568"/>
    <n v="15.5"/>
    <s v="Unknown"/>
    <x v="2"/>
  </r>
  <r>
    <n v="720"/>
    <x v="0"/>
    <x v="0"/>
    <s v="Johnson, Mr. Malkolm Joackim"/>
    <x v="0"/>
    <x v="39"/>
    <n v="0"/>
    <n v="0"/>
    <n v="347062"/>
    <n v="7.7750000000000004"/>
    <s v="Unknown"/>
    <x v="0"/>
  </r>
  <r>
    <n v="721"/>
    <x v="1"/>
    <x v="2"/>
    <s v="Harper, Miss. Annie Jessie &quot;Nina&quot;"/>
    <x v="1"/>
    <x v="82"/>
    <n v="0"/>
    <n v="1"/>
    <n v="248727"/>
    <n v="33"/>
    <s v="Unknown"/>
    <x v="0"/>
  </r>
  <r>
    <n v="722"/>
    <x v="0"/>
    <x v="0"/>
    <s v="Jensen, Mr. Svend Lauritz"/>
    <x v="0"/>
    <x v="33"/>
    <n v="1"/>
    <n v="0"/>
    <n v="350048"/>
    <n v="7.0541999999999998"/>
    <s v="Unknown"/>
    <x v="0"/>
  </r>
  <r>
    <n v="723"/>
    <x v="0"/>
    <x v="2"/>
    <s v="Gillespie, Mr. William Henry"/>
    <x v="0"/>
    <x v="15"/>
    <n v="0"/>
    <n v="0"/>
    <n v="12233"/>
    <n v="13"/>
    <s v="Unknown"/>
    <x v="0"/>
  </r>
  <r>
    <n v="724"/>
    <x v="0"/>
    <x v="2"/>
    <s v="Hodges, Mr. Henry Price"/>
    <x v="0"/>
    <x v="60"/>
    <n v="0"/>
    <n v="0"/>
    <n v="250643"/>
    <n v="13"/>
    <s v="Unknown"/>
    <x v="0"/>
  </r>
  <r>
    <n v="725"/>
    <x v="1"/>
    <x v="1"/>
    <s v="Chambers, Mr. Norman Campbell"/>
    <x v="0"/>
    <x v="7"/>
    <n v="1"/>
    <n v="0"/>
    <n v="113806"/>
    <n v="53.1"/>
    <s v="E8"/>
    <x v="0"/>
  </r>
  <r>
    <n v="726"/>
    <x v="0"/>
    <x v="0"/>
    <s v="Oreskovic, Mr. Luka"/>
    <x v="0"/>
    <x v="11"/>
    <n v="0"/>
    <n v="0"/>
    <n v="315094"/>
    <n v="8.6624999999999996"/>
    <s v="Unknown"/>
    <x v="0"/>
  </r>
  <r>
    <n v="727"/>
    <x v="1"/>
    <x v="2"/>
    <s v="Renouf, Mrs. Peter Henry (Lillian Jefferys)"/>
    <x v="1"/>
    <x v="38"/>
    <n v="3"/>
    <n v="0"/>
    <n v="31027"/>
    <n v="21"/>
    <s v="Unknown"/>
    <x v="0"/>
  </r>
  <r>
    <n v="728"/>
    <x v="1"/>
    <x v="0"/>
    <s v="Mannion, Miss. Margareth"/>
    <x v="1"/>
    <x v="4"/>
    <n v="0"/>
    <n v="0"/>
    <n v="36866"/>
    <n v="7.7374999999999998"/>
    <s v="Unknown"/>
    <x v="2"/>
  </r>
  <r>
    <n v="729"/>
    <x v="0"/>
    <x v="2"/>
    <s v="Bryhl, Mr. Kurt Arnold Gottfrid"/>
    <x v="0"/>
    <x v="36"/>
    <n v="1"/>
    <n v="0"/>
    <n v="236853"/>
    <n v="26"/>
    <s v="Unknown"/>
    <x v="0"/>
  </r>
  <r>
    <n v="730"/>
    <x v="0"/>
    <x v="0"/>
    <s v="Ilmakangas, Miss. Pieta Sofia"/>
    <x v="1"/>
    <x v="36"/>
    <n v="1"/>
    <n v="0"/>
    <s v="STON/O2. 3101271"/>
    <n v="7.9249999999999998"/>
    <s v="Unknown"/>
    <x v="0"/>
  </r>
  <r>
    <n v="731"/>
    <x v="1"/>
    <x v="1"/>
    <s v="Allen, Miss. Elisabeth Walton"/>
    <x v="1"/>
    <x v="27"/>
    <n v="0"/>
    <n v="0"/>
    <n v="24160"/>
    <n v="211.33750000000001"/>
    <s v="B5"/>
    <x v="0"/>
  </r>
  <r>
    <n v="732"/>
    <x v="0"/>
    <x v="0"/>
    <s v="Hassan, Mr. Houssein G N"/>
    <x v="0"/>
    <x v="31"/>
    <n v="0"/>
    <n v="0"/>
    <n v="2699"/>
    <n v="18.787500000000001"/>
    <s v="Unknown"/>
    <x v="1"/>
  </r>
  <r>
    <n v="733"/>
    <x v="0"/>
    <x v="2"/>
    <s v="Knight, Mr. Robert J"/>
    <x v="0"/>
    <x v="4"/>
    <n v="0"/>
    <n v="0"/>
    <n v="239855"/>
    <n v="0"/>
    <s v="Unknown"/>
    <x v="0"/>
  </r>
  <r>
    <n v="734"/>
    <x v="0"/>
    <x v="2"/>
    <s v="Berriman, Mr. William John"/>
    <x v="0"/>
    <x v="40"/>
    <n v="0"/>
    <n v="0"/>
    <n v="28425"/>
    <n v="13"/>
    <s v="Unknown"/>
    <x v="0"/>
  </r>
  <r>
    <n v="735"/>
    <x v="0"/>
    <x v="2"/>
    <s v="Troupiansky, Mr. Moses Aaron"/>
    <x v="0"/>
    <x v="40"/>
    <n v="0"/>
    <n v="0"/>
    <n v="233639"/>
    <n v="13"/>
    <s v="Unknown"/>
    <x v="0"/>
  </r>
  <r>
    <n v="736"/>
    <x v="0"/>
    <x v="0"/>
    <s v="Williams, Mr. Leslie"/>
    <x v="0"/>
    <x v="29"/>
    <n v="0"/>
    <n v="0"/>
    <n v="54636"/>
    <n v="16.100000000000001"/>
    <s v="Unknown"/>
    <x v="0"/>
  </r>
  <r>
    <n v="737"/>
    <x v="0"/>
    <x v="0"/>
    <s v="Ford, Mrs. Edward (Margaret Ann Watson)"/>
    <x v="1"/>
    <x v="75"/>
    <n v="1"/>
    <n v="3"/>
    <s v="W./C. 6608"/>
    <n v="34.375"/>
    <s v="Unknown"/>
    <x v="0"/>
  </r>
  <r>
    <n v="738"/>
    <x v="1"/>
    <x v="1"/>
    <s v="Lesurer, Mr. Gustave J"/>
    <x v="0"/>
    <x v="3"/>
    <n v="0"/>
    <n v="0"/>
    <s v="PC 17755"/>
    <n v="512.32920000000001"/>
    <s v="B101"/>
    <x v="1"/>
  </r>
  <r>
    <n v="739"/>
    <x v="0"/>
    <x v="0"/>
    <s v="Ivanoff, Mr. Kanio"/>
    <x v="0"/>
    <x v="4"/>
    <n v="0"/>
    <n v="0"/>
    <n v="349201"/>
    <n v="7.8958000000000004"/>
    <s v="Unknown"/>
    <x v="0"/>
  </r>
  <r>
    <n v="740"/>
    <x v="0"/>
    <x v="0"/>
    <s v="Nankoff, Mr. Minko"/>
    <x v="0"/>
    <x v="4"/>
    <n v="0"/>
    <n v="0"/>
    <n v="349218"/>
    <n v="7.8958000000000004"/>
    <s v="Unknown"/>
    <x v="0"/>
  </r>
  <r>
    <n v="741"/>
    <x v="1"/>
    <x v="1"/>
    <s v="Hawksford, Mr. Walter James"/>
    <x v="0"/>
    <x v="4"/>
    <n v="0"/>
    <n v="0"/>
    <n v="16988"/>
    <n v="30"/>
    <s v="D45"/>
    <x v="0"/>
  </r>
  <r>
    <n v="742"/>
    <x v="0"/>
    <x v="1"/>
    <s v="Cavendish, Mr. Tyrell William"/>
    <x v="0"/>
    <x v="61"/>
    <n v="1"/>
    <n v="0"/>
    <n v="19877"/>
    <n v="78.849999999999994"/>
    <s v="C46"/>
    <x v="0"/>
  </r>
  <r>
    <n v="743"/>
    <x v="1"/>
    <x v="1"/>
    <s v="Ryerson, Miss. Susan Parker &quot;Suzette&quot;"/>
    <x v="1"/>
    <x v="22"/>
    <n v="2"/>
    <n v="2"/>
    <s v="PC 17608"/>
    <n v="262.375"/>
    <s v="B57 B59 B63 B66"/>
    <x v="1"/>
  </r>
  <r>
    <n v="744"/>
    <x v="0"/>
    <x v="0"/>
    <s v="McNamee, Mr. Neal"/>
    <x v="0"/>
    <x v="41"/>
    <n v="1"/>
    <n v="0"/>
    <n v="376566"/>
    <n v="16.100000000000001"/>
    <s v="Unknown"/>
    <x v="0"/>
  </r>
  <r>
    <n v="745"/>
    <x v="1"/>
    <x v="0"/>
    <s v="Stranden, Mr. Juho"/>
    <x v="0"/>
    <x v="14"/>
    <n v="0"/>
    <n v="0"/>
    <s v="STON/O 2. 3101288"/>
    <n v="7.9249999999999998"/>
    <s v="Unknown"/>
    <x v="0"/>
  </r>
  <r>
    <n v="746"/>
    <x v="0"/>
    <x v="1"/>
    <s v="Crosby, Capt. Edward Gifford"/>
    <x v="0"/>
    <x v="80"/>
    <n v="1"/>
    <n v="1"/>
    <s v="WE/P 5735"/>
    <n v="71"/>
    <s v="B22"/>
    <x v="0"/>
  </r>
  <r>
    <n v="747"/>
    <x v="0"/>
    <x v="0"/>
    <s v="Abbott, Mr. Rossmore Edward"/>
    <x v="0"/>
    <x v="35"/>
    <n v="1"/>
    <n v="1"/>
    <s v="C.A. 2673"/>
    <n v="20.25"/>
    <s v="Unknown"/>
    <x v="0"/>
  </r>
  <r>
    <n v="748"/>
    <x v="1"/>
    <x v="2"/>
    <s v="Sinkkonen, Miss. Anna"/>
    <x v="1"/>
    <x v="38"/>
    <n v="0"/>
    <n v="0"/>
    <n v="250648"/>
    <n v="13"/>
    <s v="Unknown"/>
    <x v="0"/>
  </r>
  <r>
    <n v="749"/>
    <x v="0"/>
    <x v="1"/>
    <s v="Marvin, Mr. Daniel Warner"/>
    <x v="0"/>
    <x v="18"/>
    <n v="1"/>
    <n v="0"/>
    <n v="113773"/>
    <n v="53.1"/>
    <s v="D30"/>
    <x v="0"/>
  </r>
  <r>
    <n v="750"/>
    <x v="0"/>
    <x v="0"/>
    <s v="Connaghton, Mr. Michael"/>
    <x v="0"/>
    <x v="14"/>
    <n v="0"/>
    <n v="0"/>
    <n v="335097"/>
    <n v="7.75"/>
    <s v="Unknown"/>
    <x v="2"/>
  </r>
  <r>
    <n v="751"/>
    <x v="1"/>
    <x v="2"/>
    <s v="Wells, Miss. Joan"/>
    <x v="1"/>
    <x v="9"/>
    <n v="1"/>
    <n v="1"/>
    <n v="29103"/>
    <n v="23"/>
    <s v="Unknown"/>
    <x v="0"/>
  </r>
  <r>
    <n v="752"/>
    <x v="1"/>
    <x v="0"/>
    <s v="Moor, Master. Meier"/>
    <x v="0"/>
    <x v="82"/>
    <n v="0"/>
    <n v="1"/>
    <n v="392096"/>
    <n v="12.475"/>
    <s v="E121"/>
    <x v="0"/>
  </r>
  <r>
    <n v="753"/>
    <x v="0"/>
    <x v="0"/>
    <s v="Vande Velde, Mr. Johannes Joseph"/>
    <x v="0"/>
    <x v="39"/>
    <n v="0"/>
    <n v="0"/>
    <n v="345780"/>
    <n v="9.5"/>
    <s v="Unknown"/>
    <x v="0"/>
  </r>
  <r>
    <n v="754"/>
    <x v="0"/>
    <x v="0"/>
    <s v="Jonkoff, Mr. Lalio"/>
    <x v="0"/>
    <x v="40"/>
    <n v="0"/>
    <n v="0"/>
    <n v="349204"/>
    <n v="7.8958000000000004"/>
    <s v="Unknown"/>
    <x v="0"/>
  </r>
  <r>
    <n v="755"/>
    <x v="1"/>
    <x v="2"/>
    <s v="Herman, Mrs. Samuel (Jane Laver)"/>
    <x v="1"/>
    <x v="75"/>
    <n v="1"/>
    <n v="2"/>
    <n v="220845"/>
    <n v="65"/>
    <s v="Unknown"/>
    <x v="0"/>
  </r>
  <r>
    <n v="756"/>
    <x v="1"/>
    <x v="2"/>
    <s v="Hamalainen, Master. Viljo"/>
    <x v="0"/>
    <x v="83"/>
    <n v="1"/>
    <n v="1"/>
    <n v="250649"/>
    <n v="14.5"/>
    <s v="Unknown"/>
    <x v="0"/>
  </r>
  <r>
    <n v="757"/>
    <x v="0"/>
    <x v="0"/>
    <s v="Carlsson, Mr. August Sigfrid"/>
    <x v="0"/>
    <x v="4"/>
    <n v="0"/>
    <n v="0"/>
    <n v="350042"/>
    <n v="7.7957999999999998"/>
    <s v="Unknown"/>
    <x v="0"/>
  </r>
  <r>
    <n v="758"/>
    <x v="0"/>
    <x v="2"/>
    <s v="Bailey, Mr. Percy Andrew"/>
    <x v="0"/>
    <x v="23"/>
    <n v="0"/>
    <n v="0"/>
    <n v="29108"/>
    <n v="11.5"/>
    <s v="Unknown"/>
    <x v="0"/>
  </r>
  <r>
    <n v="759"/>
    <x v="0"/>
    <x v="0"/>
    <s v="Theobald, Mr. Thomas Leonard"/>
    <x v="0"/>
    <x v="15"/>
    <n v="0"/>
    <n v="0"/>
    <n v="363294"/>
    <n v="8.0500000000000007"/>
    <s v="Unknown"/>
    <x v="0"/>
  </r>
  <r>
    <n v="760"/>
    <x v="1"/>
    <x v="1"/>
    <s v="Rothes, the Countess. of (Lucy Noel Martha Dyer-Edwards)"/>
    <x v="1"/>
    <x v="39"/>
    <n v="0"/>
    <n v="0"/>
    <n v="110152"/>
    <n v="86.5"/>
    <s v="B77"/>
    <x v="0"/>
  </r>
  <r>
    <n v="761"/>
    <x v="0"/>
    <x v="0"/>
    <s v="Garfirth, Mr. John"/>
    <x v="0"/>
    <x v="4"/>
    <n v="0"/>
    <n v="0"/>
    <n v="358585"/>
    <n v="14.5"/>
    <s v="Unknown"/>
    <x v="0"/>
  </r>
  <r>
    <n v="762"/>
    <x v="0"/>
    <x v="0"/>
    <s v="Nirva, Mr. Iisakki Antino Aijo"/>
    <x v="0"/>
    <x v="65"/>
    <n v="0"/>
    <n v="0"/>
    <s v="SOTON/O2 3101272"/>
    <n v="7.125"/>
    <s v="Unknown"/>
    <x v="0"/>
  </r>
  <r>
    <n v="763"/>
    <x v="1"/>
    <x v="0"/>
    <s v="Barah, Mr. Hanna Assi"/>
    <x v="0"/>
    <x v="11"/>
    <n v="0"/>
    <n v="0"/>
    <n v="2663"/>
    <n v="7.2291999999999996"/>
    <s v="Unknown"/>
    <x v="1"/>
  </r>
  <r>
    <n v="764"/>
    <x v="1"/>
    <x v="1"/>
    <s v="Carter, Mrs. William Ernest (Lucile Polk)"/>
    <x v="1"/>
    <x v="61"/>
    <n v="1"/>
    <n v="2"/>
    <n v="113760"/>
    <n v="120"/>
    <s v="B96 B98"/>
    <x v="0"/>
  </r>
  <r>
    <n v="765"/>
    <x v="0"/>
    <x v="0"/>
    <s v="Eklund, Mr. Hans Linus"/>
    <x v="0"/>
    <x v="35"/>
    <n v="0"/>
    <n v="0"/>
    <n v="347074"/>
    <n v="7.7750000000000004"/>
    <s v="Unknown"/>
    <x v="0"/>
  </r>
  <r>
    <n v="766"/>
    <x v="1"/>
    <x v="1"/>
    <s v="Hogeboom, Mrs. John C (Anna Andrews)"/>
    <x v="1"/>
    <x v="53"/>
    <n v="1"/>
    <n v="0"/>
    <n v="13502"/>
    <n v="77.958299999999994"/>
    <s v="D11"/>
    <x v="0"/>
  </r>
  <r>
    <n v="767"/>
    <x v="0"/>
    <x v="1"/>
    <s v="Brewe, Dr. Arthur Jackson"/>
    <x v="0"/>
    <x v="4"/>
    <n v="0"/>
    <n v="0"/>
    <n v="112379"/>
    <n v="39.6"/>
    <s v="Unknown"/>
    <x v="1"/>
  </r>
  <r>
    <n v="768"/>
    <x v="0"/>
    <x v="0"/>
    <s v="Mangan, Miss. Mary"/>
    <x v="1"/>
    <x v="84"/>
    <n v="0"/>
    <n v="0"/>
    <n v="364850"/>
    <n v="7.75"/>
    <s v="Unknown"/>
    <x v="2"/>
  </r>
  <r>
    <n v="769"/>
    <x v="0"/>
    <x v="0"/>
    <s v="Moran, Mr. Daniel J"/>
    <x v="0"/>
    <x v="4"/>
    <n v="1"/>
    <n v="0"/>
    <n v="371110"/>
    <n v="24.15"/>
    <s v="Unknown"/>
    <x v="2"/>
  </r>
  <r>
    <n v="770"/>
    <x v="0"/>
    <x v="0"/>
    <s v="Gronnestad, Mr. Daniel Danielsen"/>
    <x v="0"/>
    <x v="34"/>
    <n v="0"/>
    <n v="0"/>
    <n v="8471"/>
    <n v="8.3625000000000007"/>
    <s v="Unknown"/>
    <x v="0"/>
  </r>
  <r>
    <n v="771"/>
    <x v="0"/>
    <x v="0"/>
    <s v="Lievens, Mr. Rene Aime"/>
    <x v="0"/>
    <x v="41"/>
    <n v="0"/>
    <n v="0"/>
    <n v="345781"/>
    <n v="9.5"/>
    <s v="Unknown"/>
    <x v="0"/>
  </r>
  <r>
    <n v="772"/>
    <x v="0"/>
    <x v="0"/>
    <s v="Jensen, Mr. Niels Peder"/>
    <x v="0"/>
    <x v="75"/>
    <n v="0"/>
    <n v="0"/>
    <n v="350047"/>
    <n v="7.8541999999999996"/>
    <s v="Unknown"/>
    <x v="0"/>
  </r>
  <r>
    <n v="773"/>
    <x v="0"/>
    <x v="2"/>
    <s v="Mack, Mrs. (Mary)"/>
    <x v="1"/>
    <x v="78"/>
    <n v="0"/>
    <n v="0"/>
    <s v="S.O./P.P. 3"/>
    <n v="10.5"/>
    <s v="E77"/>
    <x v="0"/>
  </r>
  <r>
    <n v="774"/>
    <x v="0"/>
    <x v="0"/>
    <s v="Elias, Mr. Dibo"/>
    <x v="0"/>
    <x v="4"/>
    <n v="0"/>
    <n v="0"/>
    <n v="2674"/>
    <n v="7.2249999999999996"/>
    <s v="Unknown"/>
    <x v="1"/>
  </r>
  <r>
    <n v="775"/>
    <x v="1"/>
    <x v="2"/>
    <s v="Hocking, Mrs. Elizabeth (Eliza Needs)"/>
    <x v="1"/>
    <x v="5"/>
    <n v="1"/>
    <n v="3"/>
    <n v="29105"/>
    <n v="23"/>
    <s v="Unknown"/>
    <x v="0"/>
  </r>
  <r>
    <n v="776"/>
    <x v="0"/>
    <x v="0"/>
    <s v="Myhrman, Mr. Pehr Fabian Oliver Malkolm"/>
    <x v="0"/>
    <x v="23"/>
    <n v="0"/>
    <n v="0"/>
    <n v="347078"/>
    <n v="7.75"/>
    <s v="Unknown"/>
    <x v="0"/>
  </r>
  <r>
    <n v="777"/>
    <x v="0"/>
    <x v="0"/>
    <s v="Tobin, Mr. Roger"/>
    <x v="0"/>
    <x v="4"/>
    <n v="0"/>
    <n v="0"/>
    <n v="383121"/>
    <n v="7.75"/>
    <s v="F38"/>
    <x v="2"/>
  </r>
  <r>
    <n v="778"/>
    <x v="1"/>
    <x v="0"/>
    <s v="Emanuel, Miss. Virginia Ethel"/>
    <x v="1"/>
    <x v="30"/>
    <n v="0"/>
    <n v="0"/>
    <n v="364516"/>
    <n v="12.475"/>
    <s v="Unknown"/>
    <x v="0"/>
  </r>
  <r>
    <n v="779"/>
    <x v="0"/>
    <x v="0"/>
    <s v="Kilgannon, Mr. Thomas J"/>
    <x v="0"/>
    <x v="4"/>
    <n v="0"/>
    <n v="0"/>
    <n v="36865"/>
    <n v="7.7374999999999998"/>
    <s v="Unknown"/>
    <x v="2"/>
  </r>
  <r>
    <n v="780"/>
    <x v="1"/>
    <x v="1"/>
    <s v="Robert, Mrs. Edward Scott (Elisabeth Walton McMillan)"/>
    <x v="1"/>
    <x v="70"/>
    <n v="0"/>
    <n v="1"/>
    <n v="24160"/>
    <n v="211.33750000000001"/>
    <s v="B3"/>
    <x v="0"/>
  </r>
  <r>
    <n v="781"/>
    <x v="1"/>
    <x v="0"/>
    <s v="Ayoub, Miss. Banoura"/>
    <x v="1"/>
    <x v="74"/>
    <n v="0"/>
    <n v="0"/>
    <n v="2687"/>
    <n v="7.2291999999999996"/>
    <s v="Unknown"/>
    <x v="1"/>
  </r>
  <r>
    <n v="782"/>
    <x v="1"/>
    <x v="1"/>
    <s v="Dick, Mrs. Albert Adrian (Vera Gillespie)"/>
    <x v="1"/>
    <x v="33"/>
    <n v="1"/>
    <n v="0"/>
    <n v="17474"/>
    <n v="57"/>
    <s v="B20"/>
    <x v="0"/>
  </r>
  <r>
    <n v="783"/>
    <x v="0"/>
    <x v="1"/>
    <s v="Long, Mr. Milton Clyde"/>
    <x v="0"/>
    <x v="27"/>
    <n v="0"/>
    <n v="0"/>
    <n v="113501"/>
    <n v="30"/>
    <s v="D6"/>
    <x v="0"/>
  </r>
  <r>
    <n v="784"/>
    <x v="0"/>
    <x v="0"/>
    <s v="Johnston, Mr. Andrew G"/>
    <x v="0"/>
    <x v="4"/>
    <n v="1"/>
    <n v="2"/>
    <s v="W./C. 6607"/>
    <n v="23.45"/>
    <s v="Unknown"/>
    <x v="0"/>
  </r>
  <r>
    <n v="785"/>
    <x v="0"/>
    <x v="0"/>
    <s v="Ali, Mr. William"/>
    <x v="0"/>
    <x v="36"/>
    <n v="0"/>
    <n v="0"/>
    <s v="SOTON/O.Q. 3101312"/>
    <n v="7.05"/>
    <s v="Unknown"/>
    <x v="0"/>
  </r>
  <r>
    <n v="786"/>
    <x v="0"/>
    <x v="0"/>
    <s v="Harmer, Mr. Abraham (David Lishin)"/>
    <x v="0"/>
    <x v="36"/>
    <n v="0"/>
    <n v="0"/>
    <n v="374887"/>
    <n v="7.25"/>
    <s v="Unknown"/>
    <x v="0"/>
  </r>
  <r>
    <n v="787"/>
    <x v="1"/>
    <x v="0"/>
    <s v="Sjoblom, Miss. Anna Sofia"/>
    <x v="1"/>
    <x v="23"/>
    <n v="0"/>
    <n v="0"/>
    <n v="3101265"/>
    <n v="7.4958"/>
    <s v="Unknown"/>
    <x v="0"/>
  </r>
  <r>
    <n v="788"/>
    <x v="0"/>
    <x v="0"/>
    <s v="Rice, Master. George Hugh"/>
    <x v="0"/>
    <x v="17"/>
    <n v="4"/>
    <n v="1"/>
    <n v="382652"/>
    <n v="29.125"/>
    <s v="Unknown"/>
    <x v="2"/>
  </r>
  <r>
    <n v="789"/>
    <x v="1"/>
    <x v="0"/>
    <s v="Dean, Master. Bertram Vere"/>
    <x v="0"/>
    <x v="57"/>
    <n v="1"/>
    <n v="2"/>
    <s v="C.A. 2315"/>
    <n v="20.574999999999999"/>
    <s v="Unknown"/>
    <x v="0"/>
  </r>
  <r>
    <n v="790"/>
    <x v="0"/>
    <x v="1"/>
    <s v="Guggenheim, Mr. Benjamin"/>
    <x v="0"/>
    <x v="42"/>
    <n v="0"/>
    <n v="0"/>
    <s v="PC 17593"/>
    <n v="79.2"/>
    <s v="B82 B84"/>
    <x v="1"/>
  </r>
  <r>
    <n v="791"/>
    <x v="0"/>
    <x v="0"/>
    <s v="Keane, Mr. Andrew &quot;Andy&quot;"/>
    <x v="0"/>
    <x v="4"/>
    <n v="0"/>
    <n v="0"/>
    <n v="12460"/>
    <n v="7.75"/>
    <s v="Unknown"/>
    <x v="2"/>
  </r>
  <r>
    <n v="792"/>
    <x v="0"/>
    <x v="2"/>
    <s v="Gaskell, Mr. Alfred"/>
    <x v="0"/>
    <x v="35"/>
    <n v="0"/>
    <n v="0"/>
    <n v="239865"/>
    <n v="26"/>
    <s v="Unknown"/>
    <x v="0"/>
  </r>
  <r>
    <n v="793"/>
    <x v="0"/>
    <x v="0"/>
    <s v="Sage, Miss. Stella Anna"/>
    <x v="1"/>
    <x v="4"/>
    <n v="8"/>
    <n v="2"/>
    <s v="CA. 2343"/>
    <n v="69.55"/>
    <s v="Unknown"/>
    <x v="0"/>
  </r>
  <r>
    <n v="794"/>
    <x v="0"/>
    <x v="1"/>
    <s v="Hoyt, Mr. William Fisher"/>
    <x v="0"/>
    <x v="4"/>
    <n v="0"/>
    <n v="0"/>
    <s v="PC 17600"/>
    <n v="30.695799999999998"/>
    <s v="Unknown"/>
    <x v="1"/>
  </r>
  <r>
    <n v="795"/>
    <x v="0"/>
    <x v="0"/>
    <s v="Dantcheff, Mr. Ristiu"/>
    <x v="0"/>
    <x v="36"/>
    <n v="0"/>
    <n v="0"/>
    <n v="349203"/>
    <n v="7.8958000000000004"/>
    <s v="Unknown"/>
    <x v="0"/>
  </r>
  <r>
    <n v="796"/>
    <x v="0"/>
    <x v="2"/>
    <s v="Otter, Mr. Richard"/>
    <x v="0"/>
    <x v="12"/>
    <n v="0"/>
    <n v="0"/>
    <n v="28213"/>
    <n v="13"/>
    <s v="Unknown"/>
    <x v="0"/>
  </r>
  <r>
    <n v="797"/>
    <x v="1"/>
    <x v="1"/>
    <s v="Leader, Dr. Alice (Farnham)"/>
    <x v="1"/>
    <x v="26"/>
    <n v="0"/>
    <n v="0"/>
    <n v="17465"/>
    <n v="25.929200000000002"/>
    <s v="D17"/>
    <x v="0"/>
  </r>
  <r>
    <n v="798"/>
    <x v="1"/>
    <x v="0"/>
    <s v="Osman, Mrs. Mara"/>
    <x v="1"/>
    <x v="14"/>
    <n v="0"/>
    <n v="0"/>
    <n v="349244"/>
    <n v="8.6832999999999991"/>
    <s v="Unknown"/>
    <x v="0"/>
  </r>
  <r>
    <n v="799"/>
    <x v="0"/>
    <x v="0"/>
    <s v="Ibrahim Shawah, Mr. Yousseff"/>
    <x v="0"/>
    <x v="38"/>
    <n v="0"/>
    <n v="0"/>
    <n v="2685"/>
    <n v="7.2291999999999996"/>
    <s v="Unknown"/>
    <x v="1"/>
  </r>
  <r>
    <n v="800"/>
    <x v="0"/>
    <x v="0"/>
    <s v="Van Impe, Mrs. Jean Baptiste (Rosalie Paula Govaert)"/>
    <x v="1"/>
    <x v="38"/>
    <n v="1"/>
    <n v="1"/>
    <n v="345773"/>
    <n v="24.15"/>
    <s v="Unknown"/>
    <x v="0"/>
  </r>
  <r>
    <n v="801"/>
    <x v="0"/>
    <x v="2"/>
    <s v="Ponesell, Mr. Martin"/>
    <x v="0"/>
    <x v="15"/>
    <n v="0"/>
    <n v="0"/>
    <n v="250647"/>
    <n v="13"/>
    <s v="Unknown"/>
    <x v="0"/>
  </r>
  <r>
    <n v="802"/>
    <x v="1"/>
    <x v="2"/>
    <s v="Collyer, Mrs. Harvey (Charlotte Annie Tate)"/>
    <x v="1"/>
    <x v="14"/>
    <n v="1"/>
    <n v="1"/>
    <s v="C.A. 31921"/>
    <n v="26.25"/>
    <s v="Unknown"/>
    <x v="0"/>
  </r>
  <r>
    <n v="803"/>
    <x v="1"/>
    <x v="1"/>
    <s v="Carter, Master. William Thornton II"/>
    <x v="0"/>
    <x v="31"/>
    <n v="1"/>
    <n v="2"/>
    <n v="113760"/>
    <n v="120"/>
    <s v="B96 B98"/>
    <x v="0"/>
  </r>
  <r>
    <n v="804"/>
    <x v="1"/>
    <x v="0"/>
    <s v="Thomas, Master. Assad Alexander"/>
    <x v="0"/>
    <x v="85"/>
    <n v="0"/>
    <n v="1"/>
    <n v="2625"/>
    <n v="8.5167000000000002"/>
    <s v="Unknown"/>
    <x v="1"/>
  </r>
  <r>
    <n v="805"/>
    <x v="1"/>
    <x v="0"/>
    <s v="Hedman, Mr. Oskar Arvid"/>
    <x v="0"/>
    <x v="7"/>
    <n v="0"/>
    <n v="0"/>
    <n v="347089"/>
    <n v="6.9749999999999996"/>
    <s v="Unknown"/>
    <x v="0"/>
  </r>
  <r>
    <n v="806"/>
    <x v="0"/>
    <x v="0"/>
    <s v="Johansson, Mr. Karl Johan"/>
    <x v="0"/>
    <x v="14"/>
    <n v="0"/>
    <n v="0"/>
    <n v="347063"/>
    <n v="7.7750000000000004"/>
    <s v="Unknown"/>
    <x v="0"/>
  </r>
  <r>
    <n v="807"/>
    <x v="0"/>
    <x v="1"/>
    <s v="Andrews, Mr. Thomas Jr"/>
    <x v="0"/>
    <x v="12"/>
    <n v="0"/>
    <n v="0"/>
    <n v="112050"/>
    <n v="0"/>
    <s v="A36"/>
    <x v="0"/>
  </r>
  <r>
    <n v="808"/>
    <x v="0"/>
    <x v="0"/>
    <s v="Pettersson, Miss. Ellen Natalia"/>
    <x v="1"/>
    <x v="23"/>
    <n v="0"/>
    <n v="0"/>
    <n v="347087"/>
    <n v="7.7750000000000004"/>
    <s v="Unknown"/>
    <x v="0"/>
  </r>
  <r>
    <n v="809"/>
    <x v="0"/>
    <x v="2"/>
    <s v="Meyer, Mr. August"/>
    <x v="0"/>
    <x v="12"/>
    <n v="0"/>
    <n v="0"/>
    <n v="248723"/>
    <n v="13"/>
    <s v="Unknown"/>
    <x v="0"/>
  </r>
  <r>
    <n v="810"/>
    <x v="1"/>
    <x v="1"/>
    <s v="Chambers, Mrs. Norman Campbell (Bertha Griggs)"/>
    <x v="1"/>
    <x v="39"/>
    <n v="1"/>
    <n v="0"/>
    <n v="113806"/>
    <n v="53.1"/>
    <s v="E8"/>
    <x v="0"/>
  </r>
  <r>
    <n v="811"/>
    <x v="0"/>
    <x v="0"/>
    <s v="Alexander, Mr. William"/>
    <x v="0"/>
    <x v="2"/>
    <n v="0"/>
    <n v="0"/>
    <n v="3474"/>
    <n v="7.8875000000000002"/>
    <s v="Unknown"/>
    <x v="0"/>
  </r>
  <r>
    <n v="812"/>
    <x v="0"/>
    <x v="0"/>
    <s v="Lester, Mr. James"/>
    <x v="0"/>
    <x v="12"/>
    <n v="0"/>
    <n v="0"/>
    <s v="A/4 48871"/>
    <n v="24.15"/>
    <s v="Unknown"/>
    <x v="0"/>
  </r>
  <r>
    <n v="813"/>
    <x v="0"/>
    <x v="2"/>
    <s v="Slemen, Mr. Richard James"/>
    <x v="0"/>
    <x v="3"/>
    <n v="0"/>
    <n v="0"/>
    <n v="28206"/>
    <n v="10.5"/>
    <s v="Unknown"/>
    <x v="0"/>
  </r>
  <r>
    <n v="814"/>
    <x v="0"/>
    <x v="0"/>
    <s v="Andersson, Miss. Ebba Iris Alfrida"/>
    <x v="1"/>
    <x v="82"/>
    <n v="4"/>
    <n v="2"/>
    <n v="347082"/>
    <n v="31.274999999999999"/>
    <s v="Unknown"/>
    <x v="0"/>
  </r>
  <r>
    <n v="815"/>
    <x v="0"/>
    <x v="0"/>
    <s v="Tomlin, Mr. Ernest Portage"/>
    <x v="0"/>
    <x v="84"/>
    <n v="0"/>
    <n v="0"/>
    <n v="364499"/>
    <n v="8.0500000000000007"/>
    <s v="Unknown"/>
    <x v="0"/>
  </r>
  <r>
    <n v="816"/>
    <x v="0"/>
    <x v="1"/>
    <s v="Fry, Mr. Richard"/>
    <x v="0"/>
    <x v="4"/>
    <n v="0"/>
    <n v="0"/>
    <n v="112058"/>
    <n v="0"/>
    <s v="B102"/>
    <x v="0"/>
  </r>
  <r>
    <n v="817"/>
    <x v="0"/>
    <x v="0"/>
    <s v="Heininen, Miss. Wendla Maria"/>
    <x v="1"/>
    <x v="40"/>
    <n v="0"/>
    <n v="0"/>
    <s v="STON/O2. 3101290"/>
    <n v="7.9249999999999998"/>
    <s v="Unknown"/>
    <x v="0"/>
  </r>
  <r>
    <n v="818"/>
    <x v="0"/>
    <x v="2"/>
    <s v="Mallet, Mr. Albert"/>
    <x v="0"/>
    <x v="14"/>
    <n v="1"/>
    <n v="1"/>
    <s v="S.C./PARIS 2079"/>
    <n v="37.004199999999997"/>
    <s v="Unknown"/>
    <x v="1"/>
  </r>
  <r>
    <n v="819"/>
    <x v="0"/>
    <x v="0"/>
    <s v="Holm, Mr. John Fredrik Alexander"/>
    <x v="0"/>
    <x v="70"/>
    <n v="0"/>
    <n v="0"/>
    <s v="C 7075"/>
    <n v="6.45"/>
    <s v="Unknown"/>
    <x v="0"/>
  </r>
  <r>
    <n v="820"/>
    <x v="0"/>
    <x v="0"/>
    <s v="Skoog, Master. Karl Thorsten"/>
    <x v="0"/>
    <x v="72"/>
    <n v="3"/>
    <n v="2"/>
    <n v="347088"/>
    <n v="27.9"/>
    <s v="Unknown"/>
    <x v="0"/>
  </r>
  <r>
    <n v="821"/>
    <x v="1"/>
    <x v="1"/>
    <s v="Hays, Mrs. Charles Melville (Clara Jennings Gregg)"/>
    <x v="1"/>
    <x v="66"/>
    <n v="1"/>
    <n v="1"/>
    <n v="12749"/>
    <n v="93.5"/>
    <s v="B69"/>
    <x v="0"/>
  </r>
  <r>
    <n v="822"/>
    <x v="1"/>
    <x v="0"/>
    <s v="Lulic, Mr. Nikola"/>
    <x v="0"/>
    <x v="7"/>
    <n v="0"/>
    <n v="0"/>
    <n v="315098"/>
    <n v="8.6624999999999996"/>
    <s v="Unknown"/>
    <x v="0"/>
  </r>
  <r>
    <n v="823"/>
    <x v="0"/>
    <x v="1"/>
    <s v="Reuchlin, Jonkheer. John George"/>
    <x v="0"/>
    <x v="1"/>
    <n v="0"/>
    <n v="0"/>
    <n v="19972"/>
    <n v="0"/>
    <s v="Unknown"/>
    <x v="0"/>
  </r>
  <r>
    <n v="824"/>
    <x v="1"/>
    <x v="0"/>
    <s v="Moor, Mrs. (Beila)"/>
    <x v="1"/>
    <x v="7"/>
    <n v="0"/>
    <n v="1"/>
    <n v="392096"/>
    <n v="12.475"/>
    <s v="E121"/>
    <x v="0"/>
  </r>
  <r>
    <n v="825"/>
    <x v="0"/>
    <x v="0"/>
    <s v="Panula, Master. Urho Abraham"/>
    <x v="0"/>
    <x v="6"/>
    <n v="4"/>
    <n v="1"/>
    <n v="3101295"/>
    <n v="39.6875"/>
    <s v="Unknown"/>
    <x v="0"/>
  </r>
  <r>
    <n v="826"/>
    <x v="0"/>
    <x v="0"/>
    <s v="Flynn, Mr. John"/>
    <x v="0"/>
    <x v="4"/>
    <n v="0"/>
    <n v="0"/>
    <n v="368323"/>
    <n v="6.95"/>
    <s v="Unknown"/>
    <x v="2"/>
  </r>
  <r>
    <n v="827"/>
    <x v="0"/>
    <x v="0"/>
    <s v="Lam, Mr. Len"/>
    <x v="0"/>
    <x v="4"/>
    <n v="0"/>
    <n v="0"/>
    <n v="1601"/>
    <n v="56.495800000000003"/>
    <s v="Unknown"/>
    <x v="0"/>
  </r>
  <r>
    <n v="828"/>
    <x v="1"/>
    <x v="2"/>
    <s v="Mallet, Master. Andre"/>
    <x v="0"/>
    <x v="57"/>
    <n v="0"/>
    <n v="2"/>
    <s v="S.C./PARIS 2079"/>
    <n v="37.004199999999997"/>
    <s v="Unknown"/>
    <x v="1"/>
  </r>
  <r>
    <n v="829"/>
    <x v="1"/>
    <x v="0"/>
    <s v="McCormack, Mr. Thomas Joseph"/>
    <x v="0"/>
    <x v="4"/>
    <n v="0"/>
    <n v="0"/>
    <n v="367228"/>
    <n v="7.75"/>
    <s v="Unknown"/>
    <x v="2"/>
  </r>
  <r>
    <n v="830"/>
    <x v="1"/>
    <x v="1"/>
    <s v="Stone, Mrs. George Nelson (Martha Evelyn)"/>
    <x v="1"/>
    <x v="64"/>
    <n v="0"/>
    <n v="0"/>
    <n v="113572"/>
    <n v="80"/>
    <s v="B28"/>
    <x v="0"/>
  </r>
  <r>
    <n v="831"/>
    <x v="1"/>
    <x v="0"/>
    <s v="Yasbeck, Mrs. Antoni (Selini Alexander)"/>
    <x v="1"/>
    <x v="16"/>
    <n v="1"/>
    <n v="0"/>
    <n v="2659"/>
    <n v="14.4542"/>
    <s v="Unknown"/>
    <x v="1"/>
  </r>
  <r>
    <n v="832"/>
    <x v="1"/>
    <x v="2"/>
    <s v="Richards, Master. George Sibley"/>
    <x v="0"/>
    <x v="37"/>
    <n v="1"/>
    <n v="1"/>
    <n v="29106"/>
    <n v="18.75"/>
    <s v="Unknown"/>
    <x v="0"/>
  </r>
  <r>
    <n v="833"/>
    <x v="0"/>
    <x v="0"/>
    <s v="Saad, Mr. Amin"/>
    <x v="0"/>
    <x v="4"/>
    <n v="0"/>
    <n v="0"/>
    <n v="2671"/>
    <n v="7.2291999999999996"/>
    <s v="Unknown"/>
    <x v="1"/>
  </r>
  <r>
    <n v="834"/>
    <x v="0"/>
    <x v="0"/>
    <s v="Augustsson, Mr. Albert"/>
    <x v="0"/>
    <x v="40"/>
    <n v="0"/>
    <n v="0"/>
    <n v="347468"/>
    <n v="7.8541999999999996"/>
    <s v="Unknown"/>
    <x v="0"/>
  </r>
  <r>
    <n v="835"/>
    <x v="0"/>
    <x v="0"/>
    <s v="Allum, Mr. Owen George"/>
    <x v="0"/>
    <x v="23"/>
    <n v="0"/>
    <n v="0"/>
    <n v="2223"/>
    <n v="8.3000000000000007"/>
    <s v="Unknown"/>
    <x v="0"/>
  </r>
  <r>
    <n v="836"/>
    <x v="1"/>
    <x v="1"/>
    <s v="Compton, Miss. Sara Rebecca"/>
    <x v="1"/>
    <x v="12"/>
    <n v="1"/>
    <n v="1"/>
    <s v="PC 17756"/>
    <n v="83.158299999999997"/>
    <s v="E49"/>
    <x v="1"/>
  </r>
  <r>
    <n v="837"/>
    <x v="0"/>
    <x v="0"/>
    <s v="Pasic, Mr. Jakob"/>
    <x v="0"/>
    <x v="22"/>
    <n v="0"/>
    <n v="0"/>
    <n v="315097"/>
    <n v="8.6624999999999996"/>
    <s v="Unknown"/>
    <x v="0"/>
  </r>
  <r>
    <n v="838"/>
    <x v="0"/>
    <x v="0"/>
    <s v="Sirota, Mr. Maurice"/>
    <x v="0"/>
    <x v="4"/>
    <n v="0"/>
    <n v="0"/>
    <n v="392092"/>
    <n v="8.0500000000000007"/>
    <s v="Unknown"/>
    <x v="0"/>
  </r>
  <r>
    <n v="839"/>
    <x v="1"/>
    <x v="0"/>
    <s v="Chip, Mr. Chang"/>
    <x v="0"/>
    <x v="34"/>
    <n v="0"/>
    <n v="0"/>
    <n v="1601"/>
    <n v="56.495800000000003"/>
    <s v="Unknown"/>
    <x v="0"/>
  </r>
  <r>
    <n v="840"/>
    <x v="1"/>
    <x v="1"/>
    <s v="Marechal, Mr. Pierre"/>
    <x v="0"/>
    <x v="4"/>
    <n v="0"/>
    <n v="0"/>
    <n v="11774"/>
    <n v="29.7"/>
    <s v="C47"/>
    <x v="1"/>
  </r>
  <r>
    <n v="841"/>
    <x v="0"/>
    <x v="0"/>
    <s v="Alhomaki, Mr. Ilmari Rudolf"/>
    <x v="0"/>
    <x v="11"/>
    <n v="0"/>
    <n v="0"/>
    <s v="SOTON/O2 3101287"/>
    <n v="7.9249999999999998"/>
    <s v="Unknown"/>
    <x v="0"/>
  </r>
  <r>
    <n v="842"/>
    <x v="0"/>
    <x v="2"/>
    <s v="Mudd, Mr. Thomas Charles"/>
    <x v="0"/>
    <x v="35"/>
    <n v="0"/>
    <n v="0"/>
    <s v="S.O./P.P. 3"/>
    <n v="10.5"/>
    <s v="Unknown"/>
    <x v="0"/>
  </r>
  <r>
    <n v="843"/>
    <x v="1"/>
    <x v="1"/>
    <s v="Serepeca, Miss. Augusta"/>
    <x v="1"/>
    <x v="38"/>
    <n v="0"/>
    <n v="0"/>
    <n v="113798"/>
    <n v="31"/>
    <s v="Unknown"/>
    <x v="1"/>
  </r>
  <r>
    <n v="844"/>
    <x v="0"/>
    <x v="0"/>
    <s v="Lemberopolous, Mr. Peter L"/>
    <x v="0"/>
    <x v="86"/>
    <n v="0"/>
    <n v="0"/>
    <n v="2683"/>
    <n v="6.4375"/>
    <s v="Unknown"/>
    <x v="1"/>
  </r>
  <r>
    <n v="845"/>
    <x v="0"/>
    <x v="0"/>
    <s v="Culumovic, Mr. Jeso"/>
    <x v="0"/>
    <x v="33"/>
    <n v="0"/>
    <n v="0"/>
    <n v="315090"/>
    <n v="8.6624999999999996"/>
    <s v="Unknown"/>
    <x v="0"/>
  </r>
  <r>
    <n v="846"/>
    <x v="0"/>
    <x v="0"/>
    <s v="Abbing, Mr. Anthony"/>
    <x v="0"/>
    <x v="21"/>
    <n v="0"/>
    <n v="0"/>
    <s v="C.A. 5547"/>
    <n v="7.55"/>
    <s v="Unknown"/>
    <x v="0"/>
  </r>
  <r>
    <n v="847"/>
    <x v="0"/>
    <x v="0"/>
    <s v="Sage, Mr. Douglas Bullen"/>
    <x v="0"/>
    <x v="4"/>
    <n v="8"/>
    <n v="2"/>
    <s v="CA. 2343"/>
    <n v="69.55"/>
    <s v="Unknown"/>
    <x v="0"/>
  </r>
  <r>
    <n v="848"/>
    <x v="0"/>
    <x v="0"/>
    <s v="Markoff, Mr. Marin"/>
    <x v="0"/>
    <x v="3"/>
    <n v="0"/>
    <n v="0"/>
    <n v="349213"/>
    <n v="7.8958000000000004"/>
    <s v="Unknown"/>
    <x v="1"/>
  </r>
  <r>
    <n v="849"/>
    <x v="0"/>
    <x v="2"/>
    <s v="Harper, Rev. John"/>
    <x v="0"/>
    <x v="4"/>
    <n v="0"/>
    <n v="1"/>
    <n v="248727"/>
    <n v="33"/>
    <s v="Unknown"/>
    <x v="0"/>
  </r>
  <r>
    <n v="850"/>
    <x v="1"/>
    <x v="1"/>
    <s v="Goldenberg, Mrs. Samuel L (Edwiga Grabowska)"/>
    <x v="1"/>
    <x v="4"/>
    <n v="1"/>
    <n v="0"/>
    <n v="17453"/>
    <n v="89.104200000000006"/>
    <s v="C92"/>
    <x v="1"/>
  </r>
  <r>
    <n v="851"/>
    <x v="0"/>
    <x v="0"/>
    <s v="Andersson, Master. Sigvard Harald Elias"/>
    <x v="0"/>
    <x v="9"/>
    <n v="4"/>
    <n v="2"/>
    <n v="347082"/>
    <n v="31.274999999999999"/>
    <s v="Unknown"/>
    <x v="0"/>
  </r>
  <r>
    <n v="852"/>
    <x v="0"/>
    <x v="0"/>
    <s v="Svensson, Mr. Johan"/>
    <x v="0"/>
    <x v="87"/>
    <n v="0"/>
    <n v="0"/>
    <n v="347060"/>
    <n v="7.7750000000000004"/>
    <s v="Unknown"/>
    <x v="0"/>
  </r>
  <r>
    <n v="853"/>
    <x v="0"/>
    <x v="0"/>
    <s v="Boulos, Miss. Nourelain"/>
    <x v="1"/>
    <x v="51"/>
    <n v="1"/>
    <n v="1"/>
    <n v="2678"/>
    <n v="15.245799999999999"/>
    <s v="Unknown"/>
    <x v="1"/>
  </r>
  <r>
    <n v="854"/>
    <x v="1"/>
    <x v="1"/>
    <s v="Lines, Miss. Mary Conover"/>
    <x v="1"/>
    <x v="35"/>
    <n v="0"/>
    <n v="1"/>
    <s v="PC 17592"/>
    <n v="39.4"/>
    <s v="D28"/>
    <x v="0"/>
  </r>
  <r>
    <n v="855"/>
    <x v="0"/>
    <x v="2"/>
    <s v="Carter, Mrs. Ernest Courtenay (Lilian Hughes)"/>
    <x v="1"/>
    <x v="56"/>
    <n v="1"/>
    <n v="0"/>
    <n v="244252"/>
    <n v="26"/>
    <s v="Unknown"/>
    <x v="0"/>
  </r>
  <r>
    <n v="856"/>
    <x v="1"/>
    <x v="0"/>
    <s v="Aks, Mrs. Sam (Leah Rosen)"/>
    <x v="1"/>
    <x v="23"/>
    <n v="0"/>
    <n v="1"/>
    <n v="392091"/>
    <n v="9.35"/>
    <s v="Unknown"/>
    <x v="0"/>
  </r>
  <r>
    <n v="857"/>
    <x v="1"/>
    <x v="1"/>
    <s v="Wick, Mrs. George Dennick (Mary Hitchcock)"/>
    <x v="1"/>
    <x v="32"/>
    <n v="1"/>
    <n v="1"/>
    <n v="36928"/>
    <n v="164.86670000000001"/>
    <s v="Unknown"/>
    <x v="0"/>
  </r>
  <r>
    <n v="858"/>
    <x v="1"/>
    <x v="1"/>
    <s v="Daly, Mr. Peter Denis "/>
    <x v="0"/>
    <x v="53"/>
    <n v="0"/>
    <n v="0"/>
    <n v="113055"/>
    <n v="26.55"/>
    <s v="E17"/>
    <x v="0"/>
  </r>
  <r>
    <n v="859"/>
    <x v="1"/>
    <x v="0"/>
    <s v="Baclini, Mrs. Solomon (Latifa Qurban)"/>
    <x v="1"/>
    <x v="41"/>
    <n v="0"/>
    <n v="3"/>
    <n v="2666"/>
    <n v="19.258299999999998"/>
    <s v="Unknown"/>
    <x v="1"/>
  </r>
  <r>
    <n v="860"/>
    <x v="0"/>
    <x v="0"/>
    <s v="Razi, Mr. Raihed"/>
    <x v="0"/>
    <x v="4"/>
    <n v="0"/>
    <n v="0"/>
    <n v="2629"/>
    <n v="7.2291999999999996"/>
    <s v="Unknown"/>
    <x v="1"/>
  </r>
  <r>
    <n v="861"/>
    <x v="0"/>
    <x v="0"/>
    <s v="Hansen, Mr. Claus Peter"/>
    <x v="0"/>
    <x v="65"/>
    <n v="2"/>
    <n v="0"/>
    <n v="350026"/>
    <n v="14.1083"/>
    <s v="Unknown"/>
    <x v="0"/>
  </r>
  <r>
    <n v="862"/>
    <x v="0"/>
    <x v="2"/>
    <s v="Giles, Mr. Frederick Edward"/>
    <x v="0"/>
    <x v="22"/>
    <n v="1"/>
    <n v="0"/>
    <n v="28134"/>
    <n v="11.5"/>
    <s v="Unknown"/>
    <x v="0"/>
  </r>
  <r>
    <n v="863"/>
    <x v="1"/>
    <x v="1"/>
    <s v="Swift, Mrs. Frederick Joel (Margaret Welles Barron)"/>
    <x v="1"/>
    <x v="75"/>
    <n v="0"/>
    <n v="0"/>
    <n v="17466"/>
    <n v="25.929200000000002"/>
    <s v="D17"/>
    <x v="0"/>
  </r>
  <r>
    <n v="864"/>
    <x v="0"/>
    <x v="0"/>
    <s v="Sage, Miss. Dorothy Edith &quot;Dolly&quot;"/>
    <x v="1"/>
    <x v="4"/>
    <n v="8"/>
    <n v="2"/>
    <s v="CA. 2343"/>
    <n v="69.55"/>
    <s v="Unknown"/>
    <x v="0"/>
  </r>
  <r>
    <n v="865"/>
    <x v="0"/>
    <x v="2"/>
    <s v="Gill, Mr. John William"/>
    <x v="0"/>
    <x v="41"/>
    <n v="0"/>
    <n v="0"/>
    <n v="233866"/>
    <n v="13"/>
    <s v="Unknown"/>
    <x v="0"/>
  </r>
  <r>
    <n v="866"/>
    <x v="1"/>
    <x v="2"/>
    <s v="Bystrom, Mrs. (Karolina)"/>
    <x v="1"/>
    <x v="21"/>
    <n v="0"/>
    <n v="0"/>
    <n v="236852"/>
    <n v="13"/>
    <s v="Unknown"/>
    <x v="0"/>
  </r>
  <r>
    <n v="867"/>
    <x v="1"/>
    <x v="2"/>
    <s v="Duran y More, Miss. Asuncion"/>
    <x v="1"/>
    <x v="7"/>
    <n v="1"/>
    <n v="0"/>
    <s v="SC/PARIS 2149"/>
    <n v="13.8583"/>
    <s v="Unknown"/>
    <x v="1"/>
  </r>
  <r>
    <n v="868"/>
    <x v="0"/>
    <x v="1"/>
    <s v="Roebling, Mr. Washington Augustus II"/>
    <x v="0"/>
    <x v="14"/>
    <n v="0"/>
    <n v="0"/>
    <s v="PC 17590"/>
    <n v="50.495800000000003"/>
    <s v="A24"/>
    <x v="0"/>
  </r>
  <r>
    <n v="869"/>
    <x v="0"/>
    <x v="0"/>
    <s v="van Melkebeke, Mr. Philemon"/>
    <x v="0"/>
    <x v="4"/>
    <n v="0"/>
    <n v="0"/>
    <n v="345777"/>
    <n v="9.5"/>
    <s v="Unknown"/>
    <x v="0"/>
  </r>
  <r>
    <n v="870"/>
    <x v="1"/>
    <x v="0"/>
    <s v="Johnson, Master. Harold Theodor"/>
    <x v="0"/>
    <x v="9"/>
    <n v="1"/>
    <n v="1"/>
    <n v="347742"/>
    <n v="11.1333"/>
    <s v="Unknown"/>
    <x v="0"/>
  </r>
  <r>
    <n v="871"/>
    <x v="0"/>
    <x v="0"/>
    <s v="Balkic, Mr. Cerin"/>
    <x v="0"/>
    <x v="2"/>
    <n v="0"/>
    <n v="0"/>
    <n v="349248"/>
    <n v="7.8958000000000004"/>
    <s v="Unknown"/>
    <x v="0"/>
  </r>
  <r>
    <n v="872"/>
    <x v="1"/>
    <x v="1"/>
    <s v="Beckwith, Mrs. Richard Leonard (Sallie Monypeny)"/>
    <x v="1"/>
    <x v="46"/>
    <n v="1"/>
    <n v="1"/>
    <n v="11751"/>
    <n v="52.554200000000002"/>
    <s v="D35"/>
    <x v="0"/>
  </r>
  <r>
    <n v="873"/>
    <x v="0"/>
    <x v="1"/>
    <s v="Carlsson, Mr. Frans Olof"/>
    <x v="0"/>
    <x v="39"/>
    <n v="0"/>
    <n v="0"/>
    <n v="695"/>
    <n v="5"/>
    <s v="B51 B53 B55"/>
    <x v="0"/>
  </r>
  <r>
    <n v="874"/>
    <x v="0"/>
    <x v="0"/>
    <s v="Vander Cruyssen, Mr. Victor"/>
    <x v="0"/>
    <x v="46"/>
    <n v="0"/>
    <n v="0"/>
    <n v="345765"/>
    <n v="9"/>
    <s v="Unknown"/>
    <x v="0"/>
  </r>
  <r>
    <n v="875"/>
    <x v="1"/>
    <x v="2"/>
    <s v="Abelson, Mrs. Samuel (Hannah Wizosky)"/>
    <x v="1"/>
    <x v="4"/>
    <n v="1"/>
    <n v="0"/>
    <s v="P/PP 3381"/>
    <n v="24"/>
    <s v="Unknown"/>
    <x v="1"/>
  </r>
  <r>
    <n v="876"/>
    <x v="1"/>
    <x v="0"/>
    <s v="Najib, Miss. Adele Kiamie &quot;Jane&quot;"/>
    <x v="1"/>
    <x v="16"/>
    <n v="0"/>
    <n v="0"/>
    <n v="2667"/>
    <n v="7.2249999999999996"/>
    <s v="Unknown"/>
    <x v="1"/>
  </r>
  <r>
    <n v="877"/>
    <x v="0"/>
    <x v="0"/>
    <s v="Gustafsson, Mr. Alfred Ossian"/>
    <x v="0"/>
    <x v="11"/>
    <n v="0"/>
    <n v="0"/>
    <n v="7534"/>
    <n v="9.8458000000000006"/>
    <s v="Unknown"/>
    <x v="0"/>
  </r>
  <r>
    <n v="878"/>
    <x v="0"/>
    <x v="0"/>
    <s v="Petroff, Mr. Nedelio"/>
    <x v="0"/>
    <x v="18"/>
    <n v="0"/>
    <n v="0"/>
    <n v="349212"/>
    <n v="7.8958000000000004"/>
    <s v="Unknown"/>
    <x v="0"/>
  </r>
  <r>
    <n v="879"/>
    <x v="0"/>
    <x v="0"/>
    <s v="Laleff, Mr. Kristo"/>
    <x v="0"/>
    <x v="4"/>
    <n v="0"/>
    <n v="0"/>
    <n v="349217"/>
    <n v="7.8958000000000004"/>
    <s v="Unknown"/>
    <x v="0"/>
  </r>
  <r>
    <n v="880"/>
    <x v="1"/>
    <x v="1"/>
    <s v="Potter, Mrs. Thomas Jr (Lily Alexenia Wilson)"/>
    <x v="1"/>
    <x v="59"/>
    <n v="0"/>
    <n v="1"/>
    <n v="11767"/>
    <n v="83.158299999999997"/>
    <s v="C50"/>
    <x v="1"/>
  </r>
  <r>
    <n v="881"/>
    <x v="1"/>
    <x v="2"/>
    <s v="Shelley, Mrs. William (Imanita Parrish Hall)"/>
    <x v="1"/>
    <x v="36"/>
    <n v="0"/>
    <n v="1"/>
    <n v="230433"/>
    <n v="26"/>
    <s v="Unknown"/>
    <x v="0"/>
  </r>
  <r>
    <n v="882"/>
    <x v="0"/>
    <x v="0"/>
    <s v="Markun, Mr. Johann"/>
    <x v="0"/>
    <x v="39"/>
    <n v="0"/>
    <n v="0"/>
    <n v="349257"/>
    <n v="7.8958000000000004"/>
    <s v="Unknown"/>
    <x v="0"/>
  </r>
  <r>
    <n v="883"/>
    <x v="0"/>
    <x v="0"/>
    <s v="Dahlberg, Miss. Gerda Ulrika"/>
    <x v="1"/>
    <x v="0"/>
    <n v="0"/>
    <n v="0"/>
    <n v="7552"/>
    <n v="10.5167"/>
    <s v="Unknown"/>
    <x v="0"/>
  </r>
  <r>
    <n v="884"/>
    <x v="0"/>
    <x v="2"/>
    <s v="Banfield, Mr. Frederick James"/>
    <x v="0"/>
    <x v="4"/>
    <n v="0"/>
    <n v="0"/>
    <s v="C.A./SOTON 34068"/>
    <n v="10.5"/>
    <s v="Unknown"/>
    <x v="0"/>
  </r>
  <r>
    <n v="885"/>
    <x v="0"/>
    <x v="0"/>
    <s v="Sutehall, Mr. Henry Jr"/>
    <x v="0"/>
    <x v="36"/>
    <n v="0"/>
    <n v="0"/>
    <s v="SOTON/OQ 392076"/>
    <n v="7.05"/>
    <s v="Unknown"/>
    <x v="0"/>
  </r>
  <r>
    <n v="886"/>
    <x v="0"/>
    <x v="0"/>
    <s v="Rice, Mrs. William (Margaret Norton)"/>
    <x v="1"/>
    <x v="12"/>
    <n v="0"/>
    <n v="5"/>
    <n v="382652"/>
    <n v="29.125"/>
    <s v="Unknown"/>
    <x v="2"/>
  </r>
  <r>
    <n v="887"/>
    <x v="0"/>
    <x v="2"/>
    <s v="Montvila, Rev. Juozas"/>
    <x v="0"/>
    <x v="7"/>
    <n v="0"/>
    <n v="0"/>
    <n v="211536"/>
    <n v="13"/>
    <s v="Unknown"/>
    <x v="0"/>
  </r>
  <r>
    <n v="888"/>
    <x v="1"/>
    <x v="1"/>
    <s v="Graham, Miss. Margaret Edith"/>
    <x v="1"/>
    <x v="18"/>
    <n v="0"/>
    <n v="0"/>
    <n v="112053"/>
    <n v="30"/>
    <s v="B42"/>
    <x v="0"/>
  </r>
  <r>
    <n v="889"/>
    <x v="0"/>
    <x v="0"/>
    <s v="Johnston, Miss. Catherine Helen &quot;Carrie&quot;"/>
    <x v="1"/>
    <x v="4"/>
    <n v="1"/>
    <n v="2"/>
    <s v="W./C. 6607"/>
    <n v="23.45"/>
    <s v="Unknown"/>
    <x v="0"/>
  </r>
  <r>
    <n v="890"/>
    <x v="1"/>
    <x v="1"/>
    <s v="Behr, Mr. Karl Howell"/>
    <x v="0"/>
    <x v="2"/>
    <n v="0"/>
    <n v="0"/>
    <n v="111369"/>
    <n v="30"/>
    <s v="C148"/>
    <x v="1"/>
  </r>
  <r>
    <n v="891"/>
    <x v="0"/>
    <x v="0"/>
    <s v="Dooley, Mr. Patrick"/>
    <x v="0"/>
    <x v="34"/>
    <n v="0"/>
    <n v="0"/>
    <n v="370376"/>
    <n v="7.75"/>
    <s v="Unknow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D03BD-D5CA-474A-94B8-48013FB1C8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D7" firstHeaderRow="1" firstDataRow="2" firstDataCol="1"/>
  <pivotFields count="12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urvived" fld="1" baseField="0" baseItem="0"/>
  </dataFields>
  <chartFormats count="2"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7413A-3CA9-453B-8586-FD17C7B83B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8" firstHeaderRow="1" firstDataRow="2" firstDataCol="1"/>
  <pivotFields count="12"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urvived" fld="1" baseField="0" baseItem="0"/>
  </dataField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8007C-D36A-4487-9D90-8C4F702EC1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barked" fld="11" subtotal="count" baseField="0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5D3BCA-D491-4707-89A6-BD99578404D9}" name="Table5" displayName="Table5" ref="A1:M892" totalsRowShown="0" headerRowDxfId="10">
  <autoFilter ref="A1:M892" xr:uid="{455D3BCA-D491-4707-89A6-BD99578404D9}"/>
  <tableColumns count="13">
    <tableColumn id="1" xr3:uid="{91CDE43B-D803-4575-8442-CAA1F1487036}" name="PassengerId"/>
    <tableColumn id="2" xr3:uid="{5546B7E1-04E5-43D2-A0C3-CBF9856CCF69}" name="Survived"/>
    <tableColumn id="3" xr3:uid="{1889AC15-EF8B-420D-A4D8-0DB810ABB912}" name="Pclass"/>
    <tableColumn id="4" xr3:uid="{D88B0A17-6B87-4675-9673-04F2DD678F0C}" name="Name"/>
    <tableColumn id="5" xr3:uid="{57AF12FE-E470-4890-9DFD-E39743089931}" name="Sex"/>
    <tableColumn id="6" xr3:uid="{A21330BB-32AF-4EFE-8E7D-F9B1217CE7BB}" name="Age"/>
    <tableColumn id="7" xr3:uid="{D039594E-A1E6-41DF-A619-DE81E7A278DA}" name="SibSp"/>
    <tableColumn id="8" xr3:uid="{8A42CD2E-BE8A-4124-B285-CABF8216D5A7}" name="Parch"/>
    <tableColumn id="9" xr3:uid="{3E74EA19-A29A-4C49-B8F3-88FB0D0ACBA5}" name="Ticket"/>
    <tableColumn id="10" xr3:uid="{5C73724C-8405-44EE-8E1C-08505B00455F}" name="Fare"/>
    <tableColumn id="11" xr3:uid="{5059A848-F09C-410B-AF78-CDCAB2B65C38}" name="Cabin"/>
    <tableColumn id="12" xr3:uid="{F507B8BD-1437-4A6B-A05D-61BB54E84594}" name="Embarked"/>
    <tableColumn id="13" xr3:uid="{49D61479-94DF-4D21-8042-177C5CA42F16}" name="Age Group" dataDxfId="9">
      <calculatedColumnFormula>IF(F2&lt;13,"Child",IF(F2&lt;20,"Teenager",IF(F2&lt;40,"Adult",IF(F2&lt;60,"Middle Age","Senior"))))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A6E10-A79A-4C77-95F4-DEA45C39F0EF}" name="Table1" displayName="Table1" ref="D1:G2" totalsRowShown="0" headerRowDxfId="8">
  <autoFilter ref="D1:G2" xr:uid="{0C1A6E10-A79A-4C77-95F4-DEA45C39F0EF}"/>
  <tableColumns count="4">
    <tableColumn id="1" xr3:uid="{DC6AE27D-9EAE-4ACE-A9ED-786B603ED395}" name="Minimum Age">
      <calculatedColumnFormula>MIN(train!F2:F892)</calculatedColumnFormula>
    </tableColumn>
    <tableColumn id="2" xr3:uid="{E44DA769-C600-4FE4-92D9-E8E2ECDDC556}" name="Maximum Age">
      <calculatedColumnFormula>MAX(train!F2:F892)</calculatedColumnFormula>
    </tableColumn>
    <tableColumn id="3" xr3:uid="{2FAC2C36-7F0F-4D0F-A226-235CA853E7AB}" name="Minimum Fare">
      <calculatedColumnFormula>MIN(train!J2:J892)</calculatedColumnFormula>
    </tableColumn>
    <tableColumn id="4" xr3:uid="{A7DCC083-62C0-4009-9ABF-0C3BCBC3C77B}" name="Maximum Fare">
      <calculatedColumnFormula>MAX(train!J2:J892)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78B23-046B-428D-B0A5-BE7AA902A8F9}" name="Table2" displayName="Table2" ref="A1:B15" totalsRowShown="0" headerRowDxfId="7">
  <autoFilter ref="A1:B15" xr:uid="{8F078B23-046B-428D-B0A5-BE7AA902A8F9}"/>
  <tableColumns count="2">
    <tableColumn id="1" xr3:uid="{18CD591D-1D5F-4B4D-A104-FE0177CD5DBC}" name="A" dataDxfId="6"/>
    <tableColumn id="2" xr3:uid="{6C93CE95-11D8-4469-B685-948EC3F4E42A}" name="B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30BCF-C3ED-4ECE-A352-D1E00F280A01}" name="Table3" displayName="Table3" ref="A21:B26" totalsRowShown="0" headerRowDxfId="5">
  <autoFilter ref="A21:B26" xr:uid="{5DA30BCF-C3ED-4ECE-A352-D1E00F280A01}"/>
  <tableColumns count="2">
    <tableColumn id="1" xr3:uid="{8C8DD572-3EA4-4E22-B46D-A2F634078AFB}" name="Check" dataDxfId="4"/>
    <tableColumn id="2" xr3:uid="{FFAC91AC-6364-4D2C-AB5C-7AFCF05A0CD6}" name="Result" dataDxfId="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F3CEE-CD23-49A6-82C6-7060205E95E3}" name="Table4" displayName="Table4" ref="E8:G11" totalsRowShown="0">
  <autoFilter ref="E8:G11" xr:uid="{65AF3CEE-CD23-49A6-82C6-7060205E95E3}"/>
  <tableColumns count="3">
    <tableColumn id="1" xr3:uid="{26399374-F487-4E9D-9664-74DB9A6938CE}" name="Check" dataDxfId="2"/>
    <tableColumn id="2" xr3:uid="{EC862066-4E85-4D81-8D2B-6EAA8944EBAE}" name="Formula" dataDxfId="1"/>
    <tableColumn id="3" xr3:uid="{0CAD9D11-4785-4667-AFA2-CE1F53F4C4CE}" name="Expected Resul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9D1B-656A-4D33-9570-465B0C8CD592}">
  <dimension ref="A3:D7"/>
  <sheetViews>
    <sheetView workbookViewId="0">
      <selection activeCell="O11" sqref="O11"/>
    </sheetView>
  </sheetViews>
  <sheetFormatPr defaultRowHeight="14.4"/>
  <cols>
    <col min="1" max="1" width="14.332031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>
      <c r="A3" s="14" t="s">
        <v>1261</v>
      </c>
      <c r="B3" s="14" t="s">
        <v>1260</v>
      </c>
    </row>
    <row r="4" spans="1:4">
      <c r="A4" s="14" t="s">
        <v>1258</v>
      </c>
      <c r="B4">
        <v>0</v>
      </c>
      <c r="C4">
        <v>1</v>
      </c>
      <c r="D4" t="s">
        <v>1259</v>
      </c>
    </row>
    <row r="5" spans="1:4">
      <c r="A5" s="10" t="s">
        <v>17</v>
      </c>
      <c r="B5">
        <v>0</v>
      </c>
      <c r="C5">
        <v>233</v>
      </c>
      <c r="D5">
        <v>233</v>
      </c>
    </row>
    <row r="6" spans="1:4">
      <c r="A6" s="10" t="s">
        <v>13</v>
      </c>
      <c r="B6">
        <v>0</v>
      </c>
      <c r="C6">
        <v>109</v>
      </c>
      <c r="D6">
        <v>109</v>
      </c>
    </row>
    <row r="7" spans="1:4">
      <c r="A7" s="10" t="s">
        <v>1259</v>
      </c>
      <c r="B7">
        <v>0</v>
      </c>
      <c r="C7">
        <v>342</v>
      </c>
      <c r="D7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D9AD-F2FC-46D3-85C5-FB61C4209B59}">
  <dimension ref="A3:D8"/>
  <sheetViews>
    <sheetView workbookViewId="0">
      <selection activeCell="E27" sqref="E27"/>
    </sheetView>
  </sheetViews>
  <sheetFormatPr defaultRowHeight="14.4"/>
  <cols>
    <col min="1" max="1" width="14.332031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>
      <c r="A3" s="14" t="s">
        <v>1261</v>
      </c>
      <c r="B3" s="14" t="s">
        <v>1260</v>
      </c>
    </row>
    <row r="4" spans="1:4">
      <c r="A4" s="14" t="s">
        <v>1258</v>
      </c>
      <c r="B4">
        <v>0</v>
      </c>
      <c r="C4">
        <v>1</v>
      </c>
      <c r="D4" t="s">
        <v>1259</v>
      </c>
    </row>
    <row r="5" spans="1:4">
      <c r="A5" s="10">
        <v>1</v>
      </c>
      <c r="B5">
        <v>0</v>
      </c>
      <c r="C5">
        <v>136</v>
      </c>
      <c r="D5">
        <v>136</v>
      </c>
    </row>
    <row r="6" spans="1:4">
      <c r="A6" s="10">
        <v>2</v>
      </c>
      <c r="B6">
        <v>0</v>
      </c>
      <c r="C6">
        <v>87</v>
      </c>
      <c r="D6">
        <v>87</v>
      </c>
    </row>
    <row r="7" spans="1:4">
      <c r="A7" s="10">
        <v>3</v>
      </c>
      <c r="B7">
        <v>0</v>
      </c>
      <c r="C7">
        <v>119</v>
      </c>
      <c r="D7">
        <v>119</v>
      </c>
    </row>
    <row r="8" spans="1:4">
      <c r="A8" s="10" t="s">
        <v>1259</v>
      </c>
      <c r="B8">
        <v>0</v>
      </c>
      <c r="C8">
        <v>342</v>
      </c>
      <c r="D8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EAEB-BF28-41C3-8A09-540B3FE2A01E}">
  <dimension ref="A3:B7"/>
  <sheetViews>
    <sheetView workbookViewId="0">
      <selection activeCell="I13" sqref="I13:I14"/>
    </sheetView>
  </sheetViews>
  <sheetFormatPr defaultRowHeight="14.4"/>
  <cols>
    <col min="1" max="1" width="12.44140625" bestFit="1" customWidth="1"/>
    <col min="2" max="2" width="16.77734375" bestFit="1" customWidth="1"/>
  </cols>
  <sheetData>
    <row r="3" spans="1:2">
      <c r="A3" s="14" t="s">
        <v>1258</v>
      </c>
      <c r="B3" t="s">
        <v>1262</v>
      </c>
    </row>
    <row r="4" spans="1:2">
      <c r="A4" s="10" t="s">
        <v>20</v>
      </c>
      <c r="B4">
        <v>168</v>
      </c>
    </row>
    <row r="5" spans="1:2">
      <c r="A5" s="10" t="s">
        <v>27</v>
      </c>
      <c r="B5">
        <v>77</v>
      </c>
    </row>
    <row r="6" spans="1:2">
      <c r="A6" s="10" t="s">
        <v>15</v>
      </c>
      <c r="B6">
        <v>646</v>
      </c>
    </row>
    <row r="7" spans="1:2">
      <c r="A7" s="10" t="s">
        <v>1259</v>
      </c>
      <c r="B7">
        <v>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2323-510A-419B-80DF-E93D79BB61E9}">
  <dimension ref="A1:M892"/>
  <sheetViews>
    <sheetView topLeftCell="D2" workbookViewId="0">
      <selection activeCell="M2" sqref="M2"/>
    </sheetView>
  </sheetViews>
  <sheetFormatPr defaultRowHeight="14.4"/>
  <cols>
    <col min="1" max="1" width="14.44140625" customWidth="1"/>
    <col min="2" max="2" width="11.44140625" customWidth="1"/>
    <col min="3" max="3" width="12.109375" customWidth="1"/>
    <col min="4" max="4" width="47.6640625" customWidth="1"/>
    <col min="5" max="5" width="12.109375" customWidth="1"/>
    <col min="6" max="6" width="8" customWidth="1"/>
    <col min="7" max="7" width="11.88671875" customWidth="1"/>
    <col min="8" max="8" width="11.109375" customWidth="1"/>
    <col min="9" max="9" width="13" customWidth="1"/>
    <col min="10" max="10" width="11.109375" customWidth="1"/>
    <col min="11" max="11" width="15.21875" customWidth="1"/>
    <col min="12" max="12" width="13" customWidth="1"/>
    <col min="13" max="13" width="13.33203125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1263</v>
      </c>
    </row>
    <row r="2" spans="1:1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K2" t="s">
        <v>1237</v>
      </c>
      <c r="L2" t="s">
        <v>15</v>
      </c>
      <c r="M2" t="str">
        <f t="shared" ref="M2:M65" si="0">IF(F2&lt;13,"Child",IF(F2&lt;20,"Teenager",IF(F2&lt;40,"Adult",IF(F2&lt;60,"Middle Age","Senior"))))</f>
        <v>Adult</v>
      </c>
    </row>
    <row r="3" spans="1:1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  <c r="M3" t="str">
        <f t="shared" si="0"/>
        <v>Adult</v>
      </c>
    </row>
    <row r="4" spans="1:1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K4" t="s">
        <v>1237</v>
      </c>
      <c r="L4" t="s">
        <v>15</v>
      </c>
      <c r="M4" t="str">
        <f t="shared" si="0"/>
        <v>Adult</v>
      </c>
    </row>
    <row r="5" spans="1:1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  <c r="M5" t="str">
        <f t="shared" si="0"/>
        <v>Adult</v>
      </c>
    </row>
    <row r="6" spans="1:1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1237</v>
      </c>
      <c r="L6" t="s">
        <v>15</v>
      </c>
      <c r="M6" t="str">
        <f t="shared" si="0"/>
        <v>Adult</v>
      </c>
    </row>
    <row r="7" spans="1:13">
      <c r="A7">
        <v>6</v>
      </c>
      <c r="B7">
        <v>0</v>
      </c>
      <c r="C7">
        <v>3</v>
      </c>
      <c r="D7" t="s">
        <v>26</v>
      </c>
      <c r="E7" t="s">
        <v>13</v>
      </c>
      <c r="F7">
        <v>28</v>
      </c>
      <c r="G7">
        <v>0</v>
      </c>
      <c r="H7">
        <v>0</v>
      </c>
      <c r="I7">
        <v>330877</v>
      </c>
      <c r="J7">
        <v>8.4582999999999995</v>
      </c>
      <c r="K7" t="s">
        <v>1237</v>
      </c>
      <c r="L7" t="s">
        <v>27</v>
      </c>
      <c r="M7" t="str">
        <f t="shared" si="0"/>
        <v>Adult</v>
      </c>
    </row>
    <row r="8" spans="1:1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  <c r="M8" t="str">
        <f t="shared" si="0"/>
        <v>Middle Age</v>
      </c>
    </row>
    <row r="9" spans="1:1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1237</v>
      </c>
      <c r="L9" t="s">
        <v>15</v>
      </c>
      <c r="M9" t="str">
        <f t="shared" si="0"/>
        <v>Child</v>
      </c>
    </row>
    <row r="10" spans="1:1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1237</v>
      </c>
      <c r="L10" t="s">
        <v>15</v>
      </c>
      <c r="M10" t="str">
        <f t="shared" si="0"/>
        <v>Adult</v>
      </c>
    </row>
    <row r="11" spans="1:1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1237</v>
      </c>
      <c r="L11" t="s">
        <v>20</v>
      </c>
      <c r="M11" t="str">
        <f t="shared" si="0"/>
        <v>Teenager</v>
      </c>
    </row>
    <row r="12" spans="1:1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  <c r="M12" t="str">
        <f t="shared" si="0"/>
        <v>Child</v>
      </c>
    </row>
    <row r="13" spans="1:1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  <c r="M13" t="str">
        <f t="shared" si="0"/>
        <v>Middle Age</v>
      </c>
    </row>
    <row r="14" spans="1:1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K14" t="s">
        <v>1237</v>
      </c>
      <c r="L14" t="s">
        <v>15</v>
      </c>
      <c r="M14" t="str">
        <f t="shared" si="0"/>
        <v>Adult</v>
      </c>
    </row>
    <row r="15" spans="1:1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1237</v>
      </c>
      <c r="L15" t="s">
        <v>15</v>
      </c>
      <c r="M15" t="str">
        <f t="shared" si="0"/>
        <v>Adult</v>
      </c>
    </row>
    <row r="16" spans="1:1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1237</v>
      </c>
      <c r="L16" t="s">
        <v>15</v>
      </c>
      <c r="M16" t="str">
        <f t="shared" si="0"/>
        <v>Teenager</v>
      </c>
    </row>
    <row r="17" spans="1:1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1237</v>
      </c>
      <c r="L17" t="s">
        <v>15</v>
      </c>
      <c r="M17" t="str">
        <f t="shared" si="0"/>
        <v>Middle Age</v>
      </c>
    </row>
    <row r="18" spans="1:13">
      <c r="A18">
        <v>17</v>
      </c>
      <c r="B18">
        <v>0</v>
      </c>
      <c r="C18">
        <v>3</v>
      </c>
      <c r="D18" t="s">
        <v>43</v>
      </c>
      <c r="E18" t="s">
        <v>13</v>
      </c>
      <c r="F18">
        <v>28</v>
      </c>
      <c r="G18">
        <v>4</v>
      </c>
      <c r="H18">
        <v>1</v>
      </c>
      <c r="I18">
        <v>382652</v>
      </c>
      <c r="J18">
        <v>29.125</v>
      </c>
      <c r="K18" t="s">
        <v>1237</v>
      </c>
      <c r="L18" t="s">
        <v>27</v>
      </c>
      <c r="M18" t="str">
        <f t="shared" si="0"/>
        <v>Adult</v>
      </c>
    </row>
    <row r="19" spans="1:13">
      <c r="A19">
        <v>18</v>
      </c>
      <c r="B19">
        <v>1</v>
      </c>
      <c r="C19">
        <v>2</v>
      </c>
      <c r="D19" t="s">
        <v>44</v>
      </c>
      <c r="E19" t="s">
        <v>13</v>
      </c>
      <c r="F19">
        <v>28</v>
      </c>
      <c r="G19">
        <v>0</v>
      </c>
      <c r="H19">
        <v>0</v>
      </c>
      <c r="I19">
        <v>244373</v>
      </c>
      <c r="J19">
        <v>13</v>
      </c>
      <c r="K19" t="s">
        <v>1237</v>
      </c>
      <c r="L19" t="s">
        <v>15</v>
      </c>
      <c r="M19" t="str">
        <f t="shared" si="0"/>
        <v>Adult</v>
      </c>
    </row>
    <row r="20" spans="1:1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1237</v>
      </c>
      <c r="L20" t="s">
        <v>15</v>
      </c>
      <c r="M20" t="str">
        <f t="shared" si="0"/>
        <v>Adult</v>
      </c>
    </row>
    <row r="21" spans="1:13">
      <c r="A21">
        <v>20</v>
      </c>
      <c r="B21">
        <v>1</v>
      </c>
      <c r="C21">
        <v>3</v>
      </c>
      <c r="D21" t="s">
        <v>46</v>
      </c>
      <c r="E21" t="s">
        <v>17</v>
      </c>
      <c r="F21">
        <v>28</v>
      </c>
      <c r="G21">
        <v>0</v>
      </c>
      <c r="H21">
        <v>0</v>
      </c>
      <c r="I21">
        <v>2649</v>
      </c>
      <c r="J21">
        <v>7.2249999999999996</v>
      </c>
      <c r="K21" t="s">
        <v>1237</v>
      </c>
      <c r="L21" t="s">
        <v>20</v>
      </c>
      <c r="M21" t="str">
        <f t="shared" si="0"/>
        <v>Adult</v>
      </c>
    </row>
    <row r="22" spans="1:1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1237</v>
      </c>
      <c r="L22" t="s">
        <v>15</v>
      </c>
      <c r="M22" t="str">
        <f t="shared" si="0"/>
        <v>Adult</v>
      </c>
    </row>
    <row r="23" spans="1:1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  <c r="M23" t="str">
        <f t="shared" si="0"/>
        <v>Adult</v>
      </c>
    </row>
    <row r="24" spans="1:1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1237</v>
      </c>
      <c r="L24" t="s">
        <v>27</v>
      </c>
      <c r="M24" t="str">
        <f t="shared" si="0"/>
        <v>Teenager</v>
      </c>
    </row>
    <row r="25" spans="1:1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  <c r="M25" t="str">
        <f t="shared" si="0"/>
        <v>Adult</v>
      </c>
    </row>
    <row r="26" spans="1:1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1237</v>
      </c>
      <c r="L26" t="s">
        <v>15</v>
      </c>
      <c r="M26" t="str">
        <f t="shared" si="0"/>
        <v>Child</v>
      </c>
    </row>
    <row r="27" spans="1:1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1237</v>
      </c>
      <c r="L27" t="s">
        <v>15</v>
      </c>
      <c r="M27" t="str">
        <f t="shared" si="0"/>
        <v>Adult</v>
      </c>
    </row>
    <row r="28" spans="1:13">
      <c r="A28">
        <v>27</v>
      </c>
      <c r="B28">
        <v>0</v>
      </c>
      <c r="C28">
        <v>3</v>
      </c>
      <c r="D28" t="s">
        <v>55</v>
      </c>
      <c r="E28" t="s">
        <v>13</v>
      </c>
      <c r="F28">
        <v>28</v>
      </c>
      <c r="G28">
        <v>0</v>
      </c>
      <c r="H28">
        <v>0</v>
      </c>
      <c r="I28">
        <v>2631</v>
      </c>
      <c r="J28">
        <v>7.2249999999999996</v>
      </c>
      <c r="K28" t="s">
        <v>1237</v>
      </c>
      <c r="L28" t="s">
        <v>20</v>
      </c>
      <c r="M28" t="str">
        <f t="shared" si="0"/>
        <v>Adult</v>
      </c>
    </row>
    <row r="29" spans="1:1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  <c r="M29" t="str">
        <f t="shared" si="0"/>
        <v>Teenager</v>
      </c>
    </row>
    <row r="30" spans="1:13">
      <c r="A30">
        <v>29</v>
      </c>
      <c r="B30">
        <v>1</v>
      </c>
      <c r="C30">
        <v>3</v>
      </c>
      <c r="D30" t="s">
        <v>58</v>
      </c>
      <c r="E30" t="s">
        <v>17</v>
      </c>
      <c r="F30">
        <v>28</v>
      </c>
      <c r="G30">
        <v>0</v>
      </c>
      <c r="H30">
        <v>0</v>
      </c>
      <c r="I30">
        <v>330959</v>
      </c>
      <c r="J30">
        <v>7.8792</v>
      </c>
      <c r="K30" t="s">
        <v>1237</v>
      </c>
      <c r="L30" t="s">
        <v>27</v>
      </c>
      <c r="M30" t="str">
        <f t="shared" si="0"/>
        <v>Adult</v>
      </c>
    </row>
    <row r="31" spans="1:13">
      <c r="A31">
        <v>30</v>
      </c>
      <c r="B31">
        <v>0</v>
      </c>
      <c r="C31">
        <v>3</v>
      </c>
      <c r="D31" t="s">
        <v>59</v>
      </c>
      <c r="E31" t="s">
        <v>13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K31" t="s">
        <v>1237</v>
      </c>
      <c r="L31" t="s">
        <v>15</v>
      </c>
      <c r="M31" t="str">
        <f t="shared" si="0"/>
        <v>Adult</v>
      </c>
    </row>
    <row r="32" spans="1:1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K32" t="s">
        <v>1237</v>
      </c>
      <c r="L32" t="s">
        <v>20</v>
      </c>
      <c r="M32" t="str">
        <f t="shared" si="0"/>
        <v>Middle Age</v>
      </c>
    </row>
    <row r="33" spans="1:13">
      <c r="A33">
        <v>32</v>
      </c>
      <c r="B33">
        <v>1</v>
      </c>
      <c r="C33">
        <v>1</v>
      </c>
      <c r="D33" t="s">
        <v>62</v>
      </c>
      <c r="E33" t="s">
        <v>17</v>
      </c>
      <c r="F33">
        <v>28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  <c r="M33" t="str">
        <f t="shared" si="0"/>
        <v>Adult</v>
      </c>
    </row>
    <row r="34" spans="1:13">
      <c r="A34">
        <v>33</v>
      </c>
      <c r="B34">
        <v>1</v>
      </c>
      <c r="C34">
        <v>3</v>
      </c>
      <c r="D34" t="s">
        <v>65</v>
      </c>
      <c r="E34" t="s">
        <v>17</v>
      </c>
      <c r="F34">
        <v>28</v>
      </c>
      <c r="G34">
        <v>0</v>
      </c>
      <c r="H34">
        <v>0</v>
      </c>
      <c r="I34">
        <v>335677</v>
      </c>
      <c r="J34">
        <v>7.75</v>
      </c>
      <c r="K34" t="s">
        <v>1237</v>
      </c>
      <c r="L34" t="s">
        <v>27</v>
      </c>
      <c r="M34" t="str">
        <f t="shared" si="0"/>
        <v>Adult</v>
      </c>
    </row>
    <row r="35" spans="1:1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K35" t="s">
        <v>1237</v>
      </c>
      <c r="L35" t="s">
        <v>15</v>
      </c>
      <c r="M35" t="str">
        <f t="shared" si="0"/>
        <v>Senior</v>
      </c>
    </row>
    <row r="36" spans="1:1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K36" t="s">
        <v>1237</v>
      </c>
      <c r="L36" t="s">
        <v>20</v>
      </c>
      <c r="M36" t="str">
        <f t="shared" si="0"/>
        <v>Adult</v>
      </c>
    </row>
    <row r="37" spans="1:1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1237</v>
      </c>
      <c r="L37" t="s">
        <v>15</v>
      </c>
      <c r="M37" t="str">
        <f t="shared" si="0"/>
        <v>Middle Age</v>
      </c>
    </row>
    <row r="38" spans="1:13">
      <c r="A38">
        <v>37</v>
      </c>
      <c r="B38">
        <v>1</v>
      </c>
      <c r="C38">
        <v>3</v>
      </c>
      <c r="D38" t="s">
        <v>71</v>
      </c>
      <c r="E38" t="s">
        <v>13</v>
      </c>
      <c r="F38">
        <v>28</v>
      </c>
      <c r="G38">
        <v>0</v>
      </c>
      <c r="H38">
        <v>0</v>
      </c>
      <c r="I38">
        <v>2677</v>
      </c>
      <c r="J38">
        <v>7.2291999999999996</v>
      </c>
      <c r="K38" t="s">
        <v>1237</v>
      </c>
      <c r="L38" t="s">
        <v>20</v>
      </c>
      <c r="M38" t="str">
        <f t="shared" si="0"/>
        <v>Adult</v>
      </c>
    </row>
    <row r="39" spans="1:1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K39" t="s">
        <v>1237</v>
      </c>
      <c r="L39" t="s">
        <v>15</v>
      </c>
      <c r="M39" t="str">
        <f t="shared" si="0"/>
        <v>Adult</v>
      </c>
    </row>
    <row r="40" spans="1:1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1237</v>
      </c>
      <c r="L40" t="s">
        <v>15</v>
      </c>
      <c r="M40" t="str">
        <f t="shared" si="0"/>
        <v>Teenager</v>
      </c>
    </row>
    <row r="41" spans="1:1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1237</v>
      </c>
      <c r="L41" t="s">
        <v>20</v>
      </c>
      <c r="M41" t="str">
        <f t="shared" si="0"/>
        <v>Teenager</v>
      </c>
    </row>
    <row r="42" spans="1:1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1237</v>
      </c>
      <c r="L42" t="s">
        <v>15</v>
      </c>
      <c r="M42" t="str">
        <f t="shared" si="0"/>
        <v>Middle Age</v>
      </c>
    </row>
    <row r="43" spans="1:1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1237</v>
      </c>
      <c r="L43" t="s">
        <v>15</v>
      </c>
      <c r="M43" t="str">
        <f t="shared" si="0"/>
        <v>Adult</v>
      </c>
    </row>
    <row r="44" spans="1:13">
      <c r="A44">
        <v>43</v>
      </c>
      <c r="B44">
        <v>0</v>
      </c>
      <c r="C44">
        <v>3</v>
      </c>
      <c r="D44" t="s">
        <v>78</v>
      </c>
      <c r="E44" t="s">
        <v>13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K44" t="s">
        <v>1237</v>
      </c>
      <c r="L44" t="s">
        <v>20</v>
      </c>
      <c r="M44" t="str">
        <f t="shared" si="0"/>
        <v>Adult</v>
      </c>
    </row>
    <row r="45" spans="1:1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K45" t="s">
        <v>1237</v>
      </c>
      <c r="L45" t="s">
        <v>20</v>
      </c>
      <c r="M45" t="str">
        <f t="shared" si="0"/>
        <v>Child</v>
      </c>
    </row>
    <row r="46" spans="1:1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1237</v>
      </c>
      <c r="L46" t="s">
        <v>27</v>
      </c>
      <c r="M46" t="str">
        <f t="shared" si="0"/>
        <v>Teenager</v>
      </c>
    </row>
    <row r="47" spans="1:13">
      <c r="A47">
        <v>46</v>
      </c>
      <c r="B47">
        <v>0</v>
      </c>
      <c r="C47">
        <v>3</v>
      </c>
      <c r="D47" t="s">
        <v>82</v>
      </c>
      <c r="E47" t="s">
        <v>13</v>
      </c>
      <c r="F47">
        <v>28</v>
      </c>
      <c r="G47">
        <v>0</v>
      </c>
      <c r="H47">
        <v>0</v>
      </c>
      <c r="I47" t="s">
        <v>83</v>
      </c>
      <c r="J47">
        <v>8.0500000000000007</v>
      </c>
      <c r="K47" t="s">
        <v>1237</v>
      </c>
      <c r="L47" t="s">
        <v>15</v>
      </c>
      <c r="M47" t="str">
        <f t="shared" si="0"/>
        <v>Adult</v>
      </c>
    </row>
    <row r="48" spans="1:13">
      <c r="A48">
        <v>47</v>
      </c>
      <c r="B48">
        <v>0</v>
      </c>
      <c r="C48">
        <v>3</v>
      </c>
      <c r="D48" t="s">
        <v>84</v>
      </c>
      <c r="E48" t="s">
        <v>13</v>
      </c>
      <c r="F48">
        <v>28</v>
      </c>
      <c r="G48">
        <v>1</v>
      </c>
      <c r="H48">
        <v>0</v>
      </c>
      <c r="I48">
        <v>370371</v>
      </c>
      <c r="J48">
        <v>15.5</v>
      </c>
      <c r="K48" t="s">
        <v>1237</v>
      </c>
      <c r="L48" t="s">
        <v>27</v>
      </c>
      <c r="M48" t="str">
        <f t="shared" si="0"/>
        <v>Adult</v>
      </c>
    </row>
    <row r="49" spans="1:13">
      <c r="A49">
        <v>48</v>
      </c>
      <c r="B49">
        <v>1</v>
      </c>
      <c r="C49">
        <v>3</v>
      </c>
      <c r="D49" t="s">
        <v>85</v>
      </c>
      <c r="E49" t="s">
        <v>17</v>
      </c>
      <c r="F49">
        <v>28</v>
      </c>
      <c r="G49">
        <v>0</v>
      </c>
      <c r="H49">
        <v>0</v>
      </c>
      <c r="I49">
        <v>14311</v>
      </c>
      <c r="J49">
        <v>7.75</v>
      </c>
      <c r="K49" t="s">
        <v>1237</v>
      </c>
      <c r="L49" t="s">
        <v>27</v>
      </c>
      <c r="M49" t="str">
        <f t="shared" si="0"/>
        <v>Adult</v>
      </c>
    </row>
    <row r="50" spans="1:13">
      <c r="A50">
        <v>49</v>
      </c>
      <c r="B50">
        <v>0</v>
      </c>
      <c r="C50">
        <v>3</v>
      </c>
      <c r="D50" t="s">
        <v>86</v>
      </c>
      <c r="E50" t="s">
        <v>13</v>
      </c>
      <c r="F50">
        <v>28</v>
      </c>
      <c r="G50">
        <v>2</v>
      </c>
      <c r="H50">
        <v>0</v>
      </c>
      <c r="I50">
        <v>2662</v>
      </c>
      <c r="J50">
        <v>21.679200000000002</v>
      </c>
      <c r="K50" t="s">
        <v>1237</v>
      </c>
      <c r="L50" t="s">
        <v>20</v>
      </c>
      <c r="M50" t="str">
        <f t="shared" si="0"/>
        <v>Adult</v>
      </c>
    </row>
    <row r="51" spans="1:1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1237</v>
      </c>
      <c r="L51" t="s">
        <v>15</v>
      </c>
      <c r="M51" t="str">
        <f t="shared" si="0"/>
        <v>Teenager</v>
      </c>
    </row>
    <row r="52" spans="1:1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1237</v>
      </c>
      <c r="L52" t="s">
        <v>15</v>
      </c>
      <c r="M52" t="str">
        <f t="shared" si="0"/>
        <v>Child</v>
      </c>
    </row>
    <row r="53" spans="1:1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K53" t="s">
        <v>1237</v>
      </c>
      <c r="L53" t="s">
        <v>15</v>
      </c>
      <c r="M53" t="str">
        <f t="shared" si="0"/>
        <v>Adult</v>
      </c>
    </row>
    <row r="54" spans="1:1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  <c r="M54" t="str">
        <f t="shared" si="0"/>
        <v>Middle Age</v>
      </c>
    </row>
    <row r="55" spans="1:1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1237</v>
      </c>
      <c r="L55" t="s">
        <v>15</v>
      </c>
      <c r="M55" t="str">
        <f t="shared" si="0"/>
        <v>Adult</v>
      </c>
    </row>
    <row r="56" spans="1:1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  <c r="M56" t="str">
        <f t="shared" si="0"/>
        <v>Senior</v>
      </c>
    </row>
    <row r="57" spans="1:13">
      <c r="A57">
        <v>56</v>
      </c>
      <c r="B57">
        <v>1</v>
      </c>
      <c r="C57">
        <v>1</v>
      </c>
      <c r="D57" t="s">
        <v>97</v>
      </c>
      <c r="E57" t="s">
        <v>13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  <c r="M57" t="str">
        <f t="shared" si="0"/>
        <v>Adult</v>
      </c>
    </row>
    <row r="58" spans="1:1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K58" t="s">
        <v>1237</v>
      </c>
      <c r="L58" t="s">
        <v>15</v>
      </c>
      <c r="M58" t="str">
        <f t="shared" si="0"/>
        <v>Adult</v>
      </c>
    </row>
    <row r="59" spans="1:1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1237</v>
      </c>
      <c r="L59" t="s">
        <v>20</v>
      </c>
      <c r="M59" t="str">
        <f t="shared" si="0"/>
        <v>Adult</v>
      </c>
    </row>
    <row r="60" spans="1:1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K60" t="s">
        <v>1237</v>
      </c>
      <c r="L60" t="s">
        <v>15</v>
      </c>
      <c r="M60" t="str">
        <f t="shared" si="0"/>
        <v>Child</v>
      </c>
    </row>
    <row r="61" spans="1:1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K61" t="s">
        <v>1237</v>
      </c>
      <c r="L61" t="s">
        <v>15</v>
      </c>
      <c r="M61" t="str">
        <f t="shared" si="0"/>
        <v>Child</v>
      </c>
    </row>
    <row r="62" spans="1:1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1237</v>
      </c>
      <c r="L62" t="s">
        <v>20</v>
      </c>
      <c r="M62" t="str">
        <f t="shared" si="0"/>
        <v>Adult</v>
      </c>
    </row>
    <row r="63" spans="1:1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  <c r="L63" t="s">
        <v>1238</v>
      </c>
      <c r="M63" t="str">
        <f t="shared" si="0"/>
        <v>Adult</v>
      </c>
    </row>
    <row r="64" spans="1:1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  <c r="M64" t="str">
        <f t="shared" si="0"/>
        <v>Middle Age</v>
      </c>
    </row>
    <row r="65" spans="1:1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1237</v>
      </c>
      <c r="L65" t="s">
        <v>15</v>
      </c>
      <c r="M65" t="str">
        <f t="shared" si="0"/>
        <v>Child</v>
      </c>
    </row>
    <row r="66" spans="1:13">
      <c r="A66">
        <v>65</v>
      </c>
      <c r="B66">
        <v>0</v>
      </c>
      <c r="C66">
        <v>1</v>
      </c>
      <c r="D66" t="s">
        <v>112</v>
      </c>
      <c r="E66" t="s">
        <v>13</v>
      </c>
      <c r="F66">
        <v>28</v>
      </c>
      <c r="G66">
        <v>0</v>
      </c>
      <c r="H66">
        <v>0</v>
      </c>
      <c r="I66" t="s">
        <v>113</v>
      </c>
      <c r="J66">
        <v>27.720800000000001</v>
      </c>
      <c r="K66" t="s">
        <v>1237</v>
      </c>
      <c r="L66" t="s">
        <v>20</v>
      </c>
      <c r="M66" t="str">
        <f t="shared" ref="M66:M129" si="1">IF(F66&lt;13,"Child",IF(F66&lt;20,"Teenager",IF(F66&lt;40,"Adult",IF(F66&lt;60,"Middle Age","Senior"))))</f>
        <v>Adult</v>
      </c>
    </row>
    <row r="67" spans="1:13">
      <c r="A67">
        <v>66</v>
      </c>
      <c r="B67">
        <v>1</v>
      </c>
      <c r="C67">
        <v>3</v>
      </c>
      <c r="D67" t="s">
        <v>114</v>
      </c>
      <c r="E67" t="s">
        <v>13</v>
      </c>
      <c r="F67">
        <v>28</v>
      </c>
      <c r="G67">
        <v>1</v>
      </c>
      <c r="H67">
        <v>1</v>
      </c>
      <c r="I67">
        <v>2661</v>
      </c>
      <c r="J67">
        <v>15.245799999999999</v>
      </c>
      <c r="K67" t="s">
        <v>1237</v>
      </c>
      <c r="L67" t="s">
        <v>20</v>
      </c>
      <c r="M67" t="str">
        <f t="shared" si="1"/>
        <v>Adult</v>
      </c>
    </row>
    <row r="68" spans="1:1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  <c r="M68" t="str">
        <f t="shared" si="1"/>
        <v>Adult</v>
      </c>
    </row>
    <row r="69" spans="1:1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K69" t="s">
        <v>1237</v>
      </c>
      <c r="L69" t="s">
        <v>15</v>
      </c>
      <c r="M69" t="str">
        <f t="shared" si="1"/>
        <v>Teenager</v>
      </c>
    </row>
    <row r="70" spans="1:1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1237</v>
      </c>
      <c r="L70" t="s">
        <v>15</v>
      </c>
      <c r="M70" t="str">
        <f t="shared" si="1"/>
        <v>Teenager</v>
      </c>
    </row>
    <row r="71" spans="1:1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1237</v>
      </c>
      <c r="L71" t="s">
        <v>15</v>
      </c>
      <c r="M71" t="str">
        <f t="shared" si="1"/>
        <v>Adult</v>
      </c>
    </row>
    <row r="72" spans="1:1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K72" t="s">
        <v>1237</v>
      </c>
      <c r="L72" t="s">
        <v>15</v>
      </c>
      <c r="M72" t="str">
        <f t="shared" si="1"/>
        <v>Adult</v>
      </c>
    </row>
    <row r="73" spans="1:1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K73" t="s">
        <v>1237</v>
      </c>
      <c r="L73" t="s">
        <v>15</v>
      </c>
      <c r="M73" t="str">
        <f t="shared" si="1"/>
        <v>Teenager</v>
      </c>
    </row>
    <row r="74" spans="1:1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K74" t="s">
        <v>1237</v>
      </c>
      <c r="L74" t="s">
        <v>15</v>
      </c>
      <c r="M74" t="str">
        <f t="shared" si="1"/>
        <v>Adult</v>
      </c>
    </row>
    <row r="75" spans="1:1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1237</v>
      </c>
      <c r="L75" t="s">
        <v>20</v>
      </c>
      <c r="M75" t="str">
        <f t="shared" si="1"/>
        <v>Adult</v>
      </c>
    </row>
    <row r="76" spans="1:1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1237</v>
      </c>
      <c r="L76" t="s">
        <v>15</v>
      </c>
      <c r="M76" t="str">
        <f t="shared" si="1"/>
        <v>Adult</v>
      </c>
    </row>
    <row r="77" spans="1:1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  <c r="M77" t="str">
        <f t="shared" si="1"/>
        <v>Adult</v>
      </c>
    </row>
    <row r="78" spans="1:13">
      <c r="A78">
        <v>77</v>
      </c>
      <c r="B78">
        <v>0</v>
      </c>
      <c r="C78">
        <v>3</v>
      </c>
      <c r="D78" t="s">
        <v>131</v>
      </c>
      <c r="E78" t="s">
        <v>13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K78" t="s">
        <v>1237</v>
      </c>
      <c r="L78" t="s">
        <v>15</v>
      </c>
      <c r="M78" t="str">
        <f t="shared" si="1"/>
        <v>Adult</v>
      </c>
    </row>
    <row r="79" spans="1:13">
      <c r="A79">
        <v>78</v>
      </c>
      <c r="B79">
        <v>0</v>
      </c>
      <c r="C79">
        <v>3</v>
      </c>
      <c r="D79" t="s">
        <v>132</v>
      </c>
      <c r="E79" t="s">
        <v>13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K79" t="s">
        <v>1237</v>
      </c>
      <c r="L79" t="s">
        <v>15</v>
      </c>
      <c r="M79" t="str">
        <f t="shared" si="1"/>
        <v>Adult</v>
      </c>
    </row>
    <row r="80" spans="1:1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1237</v>
      </c>
      <c r="L80" t="s">
        <v>15</v>
      </c>
      <c r="M80" t="str">
        <f t="shared" si="1"/>
        <v>Child</v>
      </c>
    </row>
    <row r="81" spans="1:1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1237</v>
      </c>
      <c r="L81" t="s">
        <v>15</v>
      </c>
      <c r="M81" t="str">
        <f t="shared" si="1"/>
        <v>Adult</v>
      </c>
    </row>
    <row r="82" spans="1:1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1237</v>
      </c>
      <c r="L82" t="s">
        <v>15</v>
      </c>
      <c r="M82" t="str">
        <f t="shared" si="1"/>
        <v>Adult</v>
      </c>
    </row>
    <row r="83" spans="1:1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1237</v>
      </c>
      <c r="L83" t="s">
        <v>15</v>
      </c>
      <c r="M83" t="str">
        <f t="shared" si="1"/>
        <v>Adult</v>
      </c>
    </row>
    <row r="84" spans="1:13">
      <c r="A84">
        <v>83</v>
      </c>
      <c r="B84">
        <v>1</v>
      </c>
      <c r="C84">
        <v>3</v>
      </c>
      <c r="D84" t="s">
        <v>137</v>
      </c>
      <c r="E84" t="s">
        <v>17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K84" t="s">
        <v>1237</v>
      </c>
      <c r="L84" t="s">
        <v>27</v>
      </c>
      <c r="M84" t="str">
        <f t="shared" si="1"/>
        <v>Adult</v>
      </c>
    </row>
    <row r="85" spans="1:1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1237</v>
      </c>
      <c r="L85" t="s">
        <v>15</v>
      </c>
      <c r="M85" t="str">
        <f t="shared" si="1"/>
        <v>Adult</v>
      </c>
    </row>
    <row r="86" spans="1:1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K86" t="s">
        <v>1237</v>
      </c>
      <c r="L86" t="s">
        <v>15</v>
      </c>
      <c r="M86" t="str">
        <f t="shared" si="1"/>
        <v>Teenager</v>
      </c>
    </row>
    <row r="87" spans="1:1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1237</v>
      </c>
      <c r="L87" t="s">
        <v>15</v>
      </c>
      <c r="M87" t="str">
        <f t="shared" si="1"/>
        <v>Adult</v>
      </c>
    </row>
    <row r="88" spans="1:1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K88" t="s">
        <v>1237</v>
      </c>
      <c r="L88" t="s">
        <v>15</v>
      </c>
      <c r="M88" t="str">
        <f t="shared" si="1"/>
        <v>Teenager</v>
      </c>
    </row>
    <row r="89" spans="1:13">
      <c r="A89">
        <v>88</v>
      </c>
      <c r="B89">
        <v>0</v>
      </c>
      <c r="C89">
        <v>3</v>
      </c>
      <c r="D89" t="s">
        <v>144</v>
      </c>
      <c r="E89" t="s">
        <v>13</v>
      </c>
      <c r="F89">
        <v>28</v>
      </c>
      <c r="G89">
        <v>0</v>
      </c>
      <c r="H89">
        <v>0</v>
      </c>
      <c r="I89" t="s">
        <v>145</v>
      </c>
      <c r="J89">
        <v>8.0500000000000007</v>
      </c>
      <c r="K89" t="s">
        <v>1237</v>
      </c>
      <c r="L89" t="s">
        <v>15</v>
      </c>
      <c r="M89" t="str">
        <f t="shared" si="1"/>
        <v>Adult</v>
      </c>
    </row>
    <row r="90" spans="1:1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  <c r="M90" t="str">
        <f t="shared" si="1"/>
        <v>Adult</v>
      </c>
    </row>
    <row r="91" spans="1:1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1237</v>
      </c>
      <c r="L91" t="s">
        <v>15</v>
      </c>
      <c r="M91" t="str">
        <f t="shared" si="1"/>
        <v>Adult</v>
      </c>
    </row>
    <row r="92" spans="1:1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1237</v>
      </c>
      <c r="L92" t="s">
        <v>15</v>
      </c>
      <c r="M92" t="str">
        <f t="shared" si="1"/>
        <v>Adult</v>
      </c>
    </row>
    <row r="93" spans="1:1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1237</v>
      </c>
      <c r="L93" t="s">
        <v>15</v>
      </c>
      <c r="M93" t="str">
        <f t="shared" si="1"/>
        <v>Adult</v>
      </c>
    </row>
    <row r="94" spans="1:1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  <c r="M94" t="str">
        <f t="shared" si="1"/>
        <v>Middle Age</v>
      </c>
    </row>
    <row r="95" spans="1:1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K95" t="s">
        <v>1237</v>
      </c>
      <c r="L95" t="s">
        <v>15</v>
      </c>
      <c r="M95" t="str">
        <f t="shared" si="1"/>
        <v>Adult</v>
      </c>
    </row>
    <row r="96" spans="1:1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1237</v>
      </c>
      <c r="L96" t="s">
        <v>15</v>
      </c>
      <c r="M96" t="str">
        <f t="shared" si="1"/>
        <v>Middle Age</v>
      </c>
    </row>
    <row r="97" spans="1:13">
      <c r="A97">
        <v>96</v>
      </c>
      <c r="B97">
        <v>0</v>
      </c>
      <c r="C97">
        <v>3</v>
      </c>
      <c r="D97" t="s">
        <v>156</v>
      </c>
      <c r="E97" t="s">
        <v>13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K97" t="s">
        <v>1237</v>
      </c>
      <c r="L97" t="s">
        <v>15</v>
      </c>
      <c r="M97" t="str">
        <f t="shared" si="1"/>
        <v>Adult</v>
      </c>
    </row>
    <row r="98" spans="1:1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  <c r="M98" t="str">
        <f t="shared" si="1"/>
        <v>Senior</v>
      </c>
    </row>
    <row r="99" spans="1:1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  <c r="M99" t="str">
        <f t="shared" si="1"/>
        <v>Adult</v>
      </c>
    </row>
    <row r="100" spans="1:1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1237</v>
      </c>
      <c r="L100" t="s">
        <v>15</v>
      </c>
      <c r="M100" t="str">
        <f t="shared" si="1"/>
        <v>Adult</v>
      </c>
    </row>
    <row r="101" spans="1:1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1237</v>
      </c>
      <c r="L101" t="s">
        <v>15</v>
      </c>
      <c r="M101" t="str">
        <f t="shared" si="1"/>
        <v>Adult</v>
      </c>
    </row>
    <row r="102" spans="1:1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1237</v>
      </c>
      <c r="L102" t="s">
        <v>15</v>
      </c>
      <c r="M102" t="str">
        <f t="shared" si="1"/>
        <v>Adult</v>
      </c>
    </row>
    <row r="103" spans="1:13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K103" t="s">
        <v>1237</v>
      </c>
      <c r="L103" t="s">
        <v>15</v>
      </c>
      <c r="M103" t="str">
        <f t="shared" si="1"/>
        <v>Adult</v>
      </c>
    </row>
    <row r="104" spans="1:1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  <c r="M104" t="str">
        <f t="shared" si="1"/>
        <v>Adult</v>
      </c>
    </row>
    <row r="105" spans="1:1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1237</v>
      </c>
      <c r="L105" t="s">
        <v>15</v>
      </c>
      <c r="M105" t="str">
        <f t="shared" si="1"/>
        <v>Adult</v>
      </c>
    </row>
    <row r="106" spans="1:1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1237</v>
      </c>
      <c r="L106" t="s">
        <v>15</v>
      </c>
      <c r="M106" t="str">
        <f t="shared" si="1"/>
        <v>Adult</v>
      </c>
    </row>
    <row r="107" spans="1:1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1237</v>
      </c>
      <c r="L107" t="s">
        <v>15</v>
      </c>
      <c r="M107" t="str">
        <f t="shared" si="1"/>
        <v>Adult</v>
      </c>
    </row>
    <row r="108" spans="1:1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1237</v>
      </c>
      <c r="L108" t="s">
        <v>15</v>
      </c>
      <c r="M108" t="str">
        <f t="shared" si="1"/>
        <v>Adult</v>
      </c>
    </row>
    <row r="109" spans="1:13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K109" t="s">
        <v>1237</v>
      </c>
      <c r="L109" t="s">
        <v>15</v>
      </c>
      <c r="M109" t="str">
        <f t="shared" si="1"/>
        <v>Adult</v>
      </c>
    </row>
    <row r="110" spans="1:1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1237</v>
      </c>
      <c r="L110" t="s">
        <v>15</v>
      </c>
      <c r="M110" t="str">
        <f t="shared" si="1"/>
        <v>Adult</v>
      </c>
    </row>
    <row r="111" spans="1:13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28</v>
      </c>
      <c r="G111">
        <v>1</v>
      </c>
      <c r="H111">
        <v>0</v>
      </c>
      <c r="I111">
        <v>371110</v>
      </c>
      <c r="J111">
        <v>24.15</v>
      </c>
      <c r="K111" t="s">
        <v>1237</v>
      </c>
      <c r="L111" t="s">
        <v>27</v>
      </c>
      <c r="M111" t="str">
        <f t="shared" si="1"/>
        <v>Adult</v>
      </c>
    </row>
    <row r="112" spans="1:1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  <c r="M112" t="str">
        <f t="shared" si="1"/>
        <v>Middle Age</v>
      </c>
    </row>
    <row r="113" spans="1:1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1237</v>
      </c>
      <c r="L113" t="s">
        <v>20</v>
      </c>
      <c r="M113" t="str">
        <f t="shared" si="1"/>
        <v>Teenager</v>
      </c>
    </row>
    <row r="114" spans="1:1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1237</v>
      </c>
      <c r="L114" t="s">
        <v>15</v>
      </c>
      <c r="M114" t="str">
        <f t="shared" si="1"/>
        <v>Adult</v>
      </c>
    </row>
    <row r="115" spans="1:1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1237</v>
      </c>
      <c r="L115" t="s">
        <v>15</v>
      </c>
      <c r="M115" t="str">
        <f t="shared" si="1"/>
        <v>Adult</v>
      </c>
    </row>
    <row r="116" spans="1:1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1237</v>
      </c>
      <c r="L116" t="s">
        <v>20</v>
      </c>
      <c r="M116" t="str">
        <f t="shared" si="1"/>
        <v>Teenager</v>
      </c>
    </row>
    <row r="117" spans="1:1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K117" t="s">
        <v>1237</v>
      </c>
      <c r="L117" t="s">
        <v>15</v>
      </c>
      <c r="M117" t="str">
        <f t="shared" si="1"/>
        <v>Adult</v>
      </c>
    </row>
    <row r="118" spans="1:1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1237</v>
      </c>
      <c r="L118" t="s">
        <v>27</v>
      </c>
      <c r="M118" t="str">
        <f t="shared" si="1"/>
        <v>Senior</v>
      </c>
    </row>
    <row r="119" spans="1:1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1237</v>
      </c>
      <c r="L119" t="s">
        <v>15</v>
      </c>
      <c r="M119" t="str">
        <f t="shared" si="1"/>
        <v>Adult</v>
      </c>
    </row>
    <row r="120" spans="1:1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  <c r="M120" t="str">
        <f t="shared" si="1"/>
        <v>Adult</v>
      </c>
    </row>
    <row r="121" spans="1:1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1237</v>
      </c>
      <c r="L121" t="s">
        <v>15</v>
      </c>
      <c r="M121" t="str">
        <f t="shared" si="1"/>
        <v>Child</v>
      </c>
    </row>
    <row r="122" spans="1:1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K122" t="s">
        <v>1237</v>
      </c>
      <c r="L122" t="s">
        <v>15</v>
      </c>
      <c r="M122" t="str">
        <f t="shared" si="1"/>
        <v>Adult</v>
      </c>
    </row>
    <row r="123" spans="1:13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28</v>
      </c>
      <c r="G123">
        <v>0</v>
      </c>
      <c r="H123">
        <v>0</v>
      </c>
      <c r="I123" t="s">
        <v>192</v>
      </c>
      <c r="J123">
        <v>8.0500000000000007</v>
      </c>
      <c r="K123" t="s">
        <v>1237</v>
      </c>
      <c r="L123" t="s">
        <v>15</v>
      </c>
      <c r="M123" t="str">
        <f t="shared" si="1"/>
        <v>Adult</v>
      </c>
    </row>
    <row r="124" spans="1:1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1237</v>
      </c>
      <c r="L124" t="s">
        <v>20</v>
      </c>
      <c r="M124" t="str">
        <f t="shared" si="1"/>
        <v>Adult</v>
      </c>
    </row>
    <row r="125" spans="1:1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  <c r="M125" t="str">
        <f t="shared" si="1"/>
        <v>Adult</v>
      </c>
    </row>
    <row r="126" spans="1:1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  <c r="M126" t="str">
        <f t="shared" si="1"/>
        <v>Middle Age</v>
      </c>
    </row>
    <row r="127" spans="1:1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1237</v>
      </c>
      <c r="L127" t="s">
        <v>20</v>
      </c>
      <c r="M127" t="str">
        <f t="shared" si="1"/>
        <v>Child</v>
      </c>
    </row>
    <row r="128" spans="1:13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28</v>
      </c>
      <c r="G128">
        <v>0</v>
      </c>
      <c r="H128">
        <v>0</v>
      </c>
      <c r="I128">
        <v>370372</v>
      </c>
      <c r="J128">
        <v>7.75</v>
      </c>
      <c r="K128" t="s">
        <v>1237</v>
      </c>
      <c r="L128" t="s">
        <v>27</v>
      </c>
      <c r="M128" t="str">
        <f t="shared" si="1"/>
        <v>Adult</v>
      </c>
    </row>
    <row r="129" spans="1:1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K129" t="s">
        <v>1237</v>
      </c>
      <c r="L129" t="s">
        <v>15</v>
      </c>
      <c r="M129" t="str">
        <f t="shared" si="1"/>
        <v>Adult</v>
      </c>
    </row>
    <row r="130" spans="1:13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  <c r="M130" t="str">
        <f t="shared" ref="M130:M193" si="2">IF(F130&lt;13,"Child",IF(F130&lt;20,"Teenager",IF(F130&lt;40,"Adult",IF(F130&lt;60,"Middle Age","Senior"))))</f>
        <v>Adult</v>
      </c>
    </row>
    <row r="131" spans="1:1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1237</v>
      </c>
      <c r="L131" t="s">
        <v>15</v>
      </c>
      <c r="M131" t="str">
        <f t="shared" si="2"/>
        <v>Middle Age</v>
      </c>
    </row>
    <row r="132" spans="1:1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1237</v>
      </c>
      <c r="L132" t="s">
        <v>20</v>
      </c>
      <c r="M132" t="str">
        <f t="shared" si="2"/>
        <v>Adult</v>
      </c>
    </row>
    <row r="133" spans="1:1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K133" t="s">
        <v>1237</v>
      </c>
      <c r="L133" t="s">
        <v>15</v>
      </c>
      <c r="M133" t="str">
        <f t="shared" si="2"/>
        <v>Adult</v>
      </c>
    </row>
    <row r="134" spans="1:1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K134" t="s">
        <v>1237</v>
      </c>
      <c r="L134" t="s">
        <v>15</v>
      </c>
      <c r="M134" t="str">
        <f t="shared" si="2"/>
        <v>Middle Age</v>
      </c>
    </row>
    <row r="135" spans="1:1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1237</v>
      </c>
      <c r="L135" t="s">
        <v>15</v>
      </c>
      <c r="M135" t="str">
        <f t="shared" si="2"/>
        <v>Adult</v>
      </c>
    </row>
    <row r="136" spans="1:1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K136" t="s">
        <v>1237</v>
      </c>
      <c r="L136" t="s">
        <v>15</v>
      </c>
      <c r="M136" t="str">
        <f t="shared" si="2"/>
        <v>Adult</v>
      </c>
    </row>
    <row r="137" spans="1:1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K137" t="s">
        <v>1237</v>
      </c>
      <c r="L137" t="s">
        <v>20</v>
      </c>
      <c r="M137" t="str">
        <f t="shared" si="2"/>
        <v>Adult</v>
      </c>
    </row>
    <row r="138" spans="1:1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  <c r="M138" t="str">
        <f t="shared" si="2"/>
        <v>Teenager</v>
      </c>
    </row>
    <row r="139" spans="1:1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  <c r="M139" t="str">
        <f t="shared" si="2"/>
        <v>Adult</v>
      </c>
    </row>
    <row r="140" spans="1:1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1237</v>
      </c>
      <c r="L140" t="s">
        <v>15</v>
      </c>
      <c r="M140" t="str">
        <f t="shared" si="2"/>
        <v>Teenager</v>
      </c>
    </row>
    <row r="141" spans="1:1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  <c r="M141" t="str">
        <f t="shared" si="2"/>
        <v>Adult</v>
      </c>
    </row>
    <row r="142" spans="1:13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K142" t="s">
        <v>1237</v>
      </c>
      <c r="L142" t="s">
        <v>20</v>
      </c>
      <c r="M142" t="str">
        <f t="shared" si="2"/>
        <v>Adult</v>
      </c>
    </row>
    <row r="143" spans="1:1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1237</v>
      </c>
      <c r="L143" t="s">
        <v>15</v>
      </c>
      <c r="M143" t="str">
        <f t="shared" si="2"/>
        <v>Adult</v>
      </c>
    </row>
    <row r="144" spans="1:1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K144" t="s">
        <v>1237</v>
      </c>
      <c r="L144" t="s">
        <v>15</v>
      </c>
      <c r="M144" t="str">
        <f t="shared" si="2"/>
        <v>Adult</v>
      </c>
    </row>
    <row r="145" spans="1:1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1237</v>
      </c>
      <c r="L145" t="s">
        <v>27</v>
      </c>
      <c r="M145" t="str">
        <f t="shared" si="2"/>
        <v>Teenager</v>
      </c>
    </row>
    <row r="146" spans="1:1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1237</v>
      </c>
      <c r="L146" t="s">
        <v>15</v>
      </c>
      <c r="M146" t="str">
        <f t="shared" si="2"/>
        <v>Teenager</v>
      </c>
    </row>
    <row r="147" spans="1:1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K147" t="s">
        <v>1237</v>
      </c>
      <c r="L147" t="s">
        <v>15</v>
      </c>
      <c r="M147" t="str">
        <f t="shared" si="2"/>
        <v>Teenager</v>
      </c>
    </row>
    <row r="148" spans="1:1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1237</v>
      </c>
      <c r="L148" t="s">
        <v>15</v>
      </c>
      <c r="M148" t="str">
        <f t="shared" si="2"/>
        <v>Adult</v>
      </c>
    </row>
    <row r="149" spans="1:1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K149" t="s">
        <v>1237</v>
      </c>
      <c r="L149" t="s">
        <v>15</v>
      </c>
      <c r="M149" t="str">
        <f t="shared" si="2"/>
        <v>Child</v>
      </c>
    </row>
    <row r="150" spans="1:1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  <c r="M150" t="str">
        <f t="shared" si="2"/>
        <v>Adult</v>
      </c>
    </row>
    <row r="151" spans="1:1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1237</v>
      </c>
      <c r="L151" t="s">
        <v>15</v>
      </c>
      <c r="M151" t="str">
        <f t="shared" si="2"/>
        <v>Middle Age</v>
      </c>
    </row>
    <row r="152" spans="1:1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K152" t="s">
        <v>1237</v>
      </c>
      <c r="L152" t="s">
        <v>15</v>
      </c>
      <c r="M152" t="str">
        <f t="shared" si="2"/>
        <v>Middle Age</v>
      </c>
    </row>
    <row r="153" spans="1:1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  <c r="M153" t="str">
        <f t="shared" si="2"/>
        <v>Adult</v>
      </c>
    </row>
    <row r="154" spans="1:1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K154" t="s">
        <v>1237</v>
      </c>
      <c r="L154" t="s">
        <v>15</v>
      </c>
      <c r="M154" t="str">
        <f t="shared" si="2"/>
        <v>Middle Age</v>
      </c>
    </row>
    <row r="155" spans="1:1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K155" t="s">
        <v>1237</v>
      </c>
      <c r="L155" t="s">
        <v>15</v>
      </c>
      <c r="M155" t="str">
        <f t="shared" si="2"/>
        <v>Middle Age</v>
      </c>
    </row>
    <row r="156" spans="1:13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28</v>
      </c>
      <c r="G156">
        <v>0</v>
      </c>
      <c r="H156">
        <v>0</v>
      </c>
      <c r="I156" t="s">
        <v>243</v>
      </c>
      <c r="J156">
        <v>7.3125</v>
      </c>
      <c r="K156" t="s">
        <v>1237</v>
      </c>
      <c r="L156" t="s">
        <v>15</v>
      </c>
      <c r="M156" t="str">
        <f t="shared" si="2"/>
        <v>Adult</v>
      </c>
    </row>
    <row r="157" spans="1:1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K157" t="s">
        <v>1237</v>
      </c>
      <c r="L157" t="s">
        <v>20</v>
      </c>
      <c r="M157" t="str">
        <f t="shared" si="2"/>
        <v>Middle Age</v>
      </c>
    </row>
    <row r="158" spans="1:1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1237</v>
      </c>
      <c r="L158" t="s">
        <v>27</v>
      </c>
      <c r="M158" t="str">
        <f t="shared" si="2"/>
        <v>Teenager</v>
      </c>
    </row>
    <row r="159" spans="1:1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K159" t="s">
        <v>1237</v>
      </c>
      <c r="L159" t="s">
        <v>15</v>
      </c>
      <c r="M159" t="str">
        <f t="shared" si="2"/>
        <v>Adult</v>
      </c>
    </row>
    <row r="160" spans="1:13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K160" t="s">
        <v>1237</v>
      </c>
      <c r="L160" t="s">
        <v>15</v>
      </c>
      <c r="M160" t="str">
        <f t="shared" si="2"/>
        <v>Adult</v>
      </c>
    </row>
    <row r="161" spans="1:13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28</v>
      </c>
      <c r="G161">
        <v>8</v>
      </c>
      <c r="H161">
        <v>2</v>
      </c>
      <c r="I161" t="s">
        <v>251</v>
      </c>
      <c r="J161">
        <v>69.55</v>
      </c>
      <c r="K161" t="s">
        <v>1237</v>
      </c>
      <c r="L161" t="s">
        <v>15</v>
      </c>
      <c r="M161" t="str">
        <f t="shared" si="2"/>
        <v>Adult</v>
      </c>
    </row>
    <row r="162" spans="1:1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1237</v>
      </c>
      <c r="L162" t="s">
        <v>15</v>
      </c>
      <c r="M162" t="str">
        <f t="shared" si="2"/>
        <v>Middle Age</v>
      </c>
    </row>
    <row r="163" spans="1:1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K163" t="s">
        <v>1237</v>
      </c>
      <c r="L163" t="s">
        <v>15</v>
      </c>
      <c r="M163" t="str">
        <f t="shared" si="2"/>
        <v>Middle Age</v>
      </c>
    </row>
    <row r="164" spans="1:1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1237</v>
      </c>
      <c r="L164" t="s">
        <v>15</v>
      </c>
      <c r="M164" t="str">
        <f t="shared" si="2"/>
        <v>Adult</v>
      </c>
    </row>
    <row r="165" spans="1:1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1237</v>
      </c>
      <c r="L165" t="s">
        <v>15</v>
      </c>
      <c r="M165" t="str">
        <f t="shared" si="2"/>
        <v>Teenager</v>
      </c>
    </row>
    <row r="166" spans="1:1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1237</v>
      </c>
      <c r="L166" t="s">
        <v>15</v>
      </c>
      <c r="M166" t="str">
        <f t="shared" si="2"/>
        <v>Child</v>
      </c>
    </row>
    <row r="167" spans="1:1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1237</v>
      </c>
      <c r="L167" t="s">
        <v>15</v>
      </c>
      <c r="M167" t="str">
        <f t="shared" si="2"/>
        <v>Child</v>
      </c>
    </row>
    <row r="168" spans="1:13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  <c r="M168" t="str">
        <f t="shared" si="2"/>
        <v>Adult</v>
      </c>
    </row>
    <row r="169" spans="1:1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1237</v>
      </c>
      <c r="L169" t="s">
        <v>15</v>
      </c>
      <c r="M169" t="str">
        <f t="shared" si="2"/>
        <v>Middle Age</v>
      </c>
    </row>
    <row r="170" spans="1:13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28</v>
      </c>
      <c r="G170">
        <v>0</v>
      </c>
      <c r="H170">
        <v>0</v>
      </c>
      <c r="I170" t="s">
        <v>263</v>
      </c>
      <c r="J170">
        <v>25.925000000000001</v>
      </c>
      <c r="K170" t="s">
        <v>1237</v>
      </c>
      <c r="L170" t="s">
        <v>15</v>
      </c>
      <c r="M170" t="str">
        <f t="shared" si="2"/>
        <v>Adult</v>
      </c>
    </row>
    <row r="171" spans="1:1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1237</v>
      </c>
      <c r="L171" t="s">
        <v>15</v>
      </c>
      <c r="M171" t="str">
        <f t="shared" si="2"/>
        <v>Adult</v>
      </c>
    </row>
    <row r="172" spans="1:1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  <c r="M172" t="str">
        <f t="shared" si="2"/>
        <v>Senior</v>
      </c>
    </row>
    <row r="173" spans="1:1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1237</v>
      </c>
      <c r="L173" t="s">
        <v>27</v>
      </c>
      <c r="M173" t="str">
        <f t="shared" si="2"/>
        <v>Child</v>
      </c>
    </row>
    <row r="174" spans="1:1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1237</v>
      </c>
      <c r="L174" t="s">
        <v>15</v>
      </c>
      <c r="M174" t="str">
        <f t="shared" si="2"/>
        <v>Child</v>
      </c>
    </row>
    <row r="175" spans="1:1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K175" t="s">
        <v>1237</v>
      </c>
      <c r="L175" t="s">
        <v>15</v>
      </c>
      <c r="M175" t="str">
        <f t="shared" si="2"/>
        <v>Adult</v>
      </c>
    </row>
    <row r="176" spans="1:1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  <c r="M176" t="str">
        <f t="shared" si="2"/>
        <v>Middle Age</v>
      </c>
    </row>
    <row r="177" spans="1:1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1237</v>
      </c>
      <c r="L177" t="s">
        <v>15</v>
      </c>
      <c r="M177" t="str">
        <f t="shared" si="2"/>
        <v>Teenager</v>
      </c>
    </row>
    <row r="178" spans="1:13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K178" t="s">
        <v>1237</v>
      </c>
      <c r="L178" t="s">
        <v>15</v>
      </c>
      <c r="M178" t="str">
        <f t="shared" si="2"/>
        <v>Adult</v>
      </c>
    </row>
    <row r="179" spans="1:1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  <c r="M179" t="str">
        <f t="shared" si="2"/>
        <v>Middle Age</v>
      </c>
    </row>
    <row r="180" spans="1:1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1237</v>
      </c>
      <c r="L180" t="s">
        <v>15</v>
      </c>
      <c r="M180" t="str">
        <f t="shared" si="2"/>
        <v>Adult</v>
      </c>
    </row>
    <row r="181" spans="1:1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K181" t="s">
        <v>1237</v>
      </c>
      <c r="L181" t="s">
        <v>15</v>
      </c>
      <c r="M181" t="str">
        <f t="shared" si="2"/>
        <v>Adult</v>
      </c>
    </row>
    <row r="182" spans="1:13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28</v>
      </c>
      <c r="G182">
        <v>8</v>
      </c>
      <c r="H182">
        <v>2</v>
      </c>
      <c r="I182" t="s">
        <v>251</v>
      </c>
      <c r="J182">
        <v>69.55</v>
      </c>
      <c r="K182" t="s">
        <v>1237</v>
      </c>
      <c r="L182" t="s">
        <v>15</v>
      </c>
      <c r="M182" t="str">
        <f t="shared" si="2"/>
        <v>Adult</v>
      </c>
    </row>
    <row r="183" spans="1:13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28</v>
      </c>
      <c r="G183">
        <v>0</v>
      </c>
      <c r="H183">
        <v>0</v>
      </c>
      <c r="I183" t="s">
        <v>283</v>
      </c>
      <c r="J183">
        <v>15.05</v>
      </c>
      <c r="K183" t="s">
        <v>1237</v>
      </c>
      <c r="L183" t="s">
        <v>20</v>
      </c>
      <c r="M183" t="str">
        <f t="shared" si="2"/>
        <v>Adult</v>
      </c>
    </row>
    <row r="184" spans="1:1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1237</v>
      </c>
      <c r="L184" t="s">
        <v>15</v>
      </c>
      <c r="M184" t="str">
        <f t="shared" si="2"/>
        <v>Child</v>
      </c>
    </row>
    <row r="185" spans="1:1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  <c r="M185" t="str">
        <f t="shared" si="2"/>
        <v>Child</v>
      </c>
    </row>
    <row r="186" spans="1:1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1237</v>
      </c>
      <c r="L186" t="s">
        <v>15</v>
      </c>
      <c r="M186" t="str">
        <f t="shared" si="2"/>
        <v>Child</v>
      </c>
    </row>
    <row r="187" spans="1:13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  <c r="M187" t="str">
        <f t="shared" si="2"/>
        <v>Adult</v>
      </c>
    </row>
    <row r="188" spans="1:13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28</v>
      </c>
      <c r="G188">
        <v>1</v>
      </c>
      <c r="H188">
        <v>0</v>
      </c>
      <c r="I188">
        <v>370365</v>
      </c>
      <c r="J188">
        <v>15.5</v>
      </c>
      <c r="K188" t="s">
        <v>1237</v>
      </c>
      <c r="L188" t="s">
        <v>27</v>
      </c>
      <c r="M188" t="str">
        <f t="shared" si="2"/>
        <v>Adult</v>
      </c>
    </row>
    <row r="189" spans="1:1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1237</v>
      </c>
      <c r="L189" t="s">
        <v>15</v>
      </c>
      <c r="M189" t="str">
        <f t="shared" si="2"/>
        <v>Middle Age</v>
      </c>
    </row>
    <row r="190" spans="1:1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1237</v>
      </c>
      <c r="L190" t="s">
        <v>27</v>
      </c>
      <c r="M190" t="str">
        <f t="shared" si="2"/>
        <v>Middle Age</v>
      </c>
    </row>
    <row r="191" spans="1:1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1237</v>
      </c>
      <c r="L191" t="s">
        <v>15</v>
      </c>
      <c r="M191" t="str">
        <f t="shared" si="2"/>
        <v>Adult</v>
      </c>
    </row>
    <row r="192" spans="1:1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1237</v>
      </c>
      <c r="L192" t="s">
        <v>15</v>
      </c>
      <c r="M192" t="str">
        <f t="shared" si="2"/>
        <v>Adult</v>
      </c>
    </row>
    <row r="193" spans="1:1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1237</v>
      </c>
      <c r="L193" t="s">
        <v>15</v>
      </c>
      <c r="M193" t="str">
        <f t="shared" si="2"/>
        <v>Teenager</v>
      </c>
    </row>
    <row r="194" spans="1:1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1237</v>
      </c>
      <c r="L194" t="s">
        <v>15</v>
      </c>
      <c r="M194" t="str">
        <f t="shared" ref="M194:M257" si="3">IF(F194&lt;13,"Child",IF(F194&lt;20,"Teenager",IF(F194&lt;40,"Adult",IF(F194&lt;60,"Middle Age","Senior"))))</f>
        <v>Teenager</v>
      </c>
    </row>
    <row r="195" spans="1:1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  <c r="M195" t="str">
        <f t="shared" si="3"/>
        <v>Child</v>
      </c>
    </row>
    <row r="196" spans="1:1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  <c r="M196" t="str">
        <f t="shared" si="3"/>
        <v>Middle Age</v>
      </c>
    </row>
    <row r="197" spans="1:1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  <c r="M197" t="str">
        <f t="shared" si="3"/>
        <v>Middle Age</v>
      </c>
    </row>
    <row r="198" spans="1:13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28</v>
      </c>
      <c r="G198">
        <v>0</v>
      </c>
      <c r="H198">
        <v>0</v>
      </c>
      <c r="I198">
        <v>368703</v>
      </c>
      <c r="J198">
        <v>7.75</v>
      </c>
      <c r="K198" t="s">
        <v>1237</v>
      </c>
      <c r="L198" t="s">
        <v>27</v>
      </c>
      <c r="M198" t="str">
        <f t="shared" si="3"/>
        <v>Adult</v>
      </c>
    </row>
    <row r="199" spans="1:1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1237</v>
      </c>
      <c r="L199" t="s">
        <v>15</v>
      </c>
      <c r="M199" t="str">
        <f t="shared" si="3"/>
        <v>Middle Age</v>
      </c>
    </row>
    <row r="200" spans="1:13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28</v>
      </c>
      <c r="G200">
        <v>0</v>
      </c>
      <c r="H200">
        <v>0</v>
      </c>
      <c r="I200">
        <v>370370</v>
      </c>
      <c r="J200">
        <v>7.75</v>
      </c>
      <c r="K200" t="s">
        <v>1237</v>
      </c>
      <c r="L200" t="s">
        <v>27</v>
      </c>
      <c r="M200" t="str">
        <f t="shared" si="3"/>
        <v>Adult</v>
      </c>
    </row>
    <row r="201" spans="1:1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1237</v>
      </c>
      <c r="L201" t="s">
        <v>15</v>
      </c>
      <c r="M201" t="str">
        <f t="shared" si="3"/>
        <v>Adult</v>
      </c>
    </row>
    <row r="202" spans="1:1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1237</v>
      </c>
      <c r="L202" t="s">
        <v>15</v>
      </c>
      <c r="M202" t="str">
        <f t="shared" si="3"/>
        <v>Adult</v>
      </c>
    </row>
    <row r="203" spans="1:13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28</v>
      </c>
      <c r="G203">
        <v>8</v>
      </c>
      <c r="H203">
        <v>2</v>
      </c>
      <c r="I203" t="s">
        <v>251</v>
      </c>
      <c r="J203">
        <v>69.55</v>
      </c>
      <c r="K203" t="s">
        <v>1237</v>
      </c>
      <c r="L203" t="s">
        <v>15</v>
      </c>
      <c r="M203" t="str">
        <f t="shared" si="3"/>
        <v>Adult</v>
      </c>
    </row>
    <row r="204" spans="1:1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1237</v>
      </c>
      <c r="L204" t="s">
        <v>15</v>
      </c>
      <c r="M204" t="str">
        <f t="shared" si="3"/>
        <v>Adult</v>
      </c>
    </row>
    <row r="205" spans="1:1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1237</v>
      </c>
      <c r="L205" t="s">
        <v>20</v>
      </c>
      <c r="M205" t="str">
        <f t="shared" si="3"/>
        <v>Middle Age</v>
      </c>
    </row>
    <row r="206" spans="1:1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K206" t="s">
        <v>1237</v>
      </c>
      <c r="L206" t="s">
        <v>15</v>
      </c>
      <c r="M206" t="str">
        <f t="shared" si="3"/>
        <v>Teenager</v>
      </c>
    </row>
    <row r="207" spans="1:1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  <c r="M207" t="str">
        <f t="shared" si="3"/>
        <v>Child</v>
      </c>
    </row>
    <row r="208" spans="1:1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1237</v>
      </c>
      <c r="L208" t="s">
        <v>15</v>
      </c>
      <c r="M208" t="str">
        <f t="shared" si="3"/>
        <v>Adult</v>
      </c>
    </row>
    <row r="209" spans="1:1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1237</v>
      </c>
      <c r="L209" t="s">
        <v>20</v>
      </c>
      <c r="M209" t="str">
        <f t="shared" si="3"/>
        <v>Adult</v>
      </c>
    </row>
    <row r="210" spans="1:1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1237</v>
      </c>
      <c r="L210" t="s">
        <v>27</v>
      </c>
      <c r="M210" t="str">
        <f t="shared" si="3"/>
        <v>Teenager</v>
      </c>
    </row>
    <row r="211" spans="1:1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  <c r="M211" t="str">
        <f t="shared" si="3"/>
        <v>Middle Age</v>
      </c>
    </row>
    <row r="212" spans="1:1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K212" t="s">
        <v>1237</v>
      </c>
      <c r="L212" t="s">
        <v>15</v>
      </c>
      <c r="M212" t="str">
        <f t="shared" si="3"/>
        <v>Adult</v>
      </c>
    </row>
    <row r="213" spans="1:1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K213" t="s">
        <v>1237</v>
      </c>
      <c r="L213" t="s">
        <v>15</v>
      </c>
      <c r="M213" t="str">
        <f t="shared" si="3"/>
        <v>Adult</v>
      </c>
    </row>
    <row r="214" spans="1:1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K214" t="s">
        <v>1237</v>
      </c>
      <c r="L214" t="s">
        <v>15</v>
      </c>
      <c r="M214" t="str">
        <f t="shared" si="3"/>
        <v>Adult</v>
      </c>
    </row>
    <row r="215" spans="1:1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1237</v>
      </c>
      <c r="L215" t="s">
        <v>15</v>
      </c>
      <c r="M215" t="str">
        <f t="shared" si="3"/>
        <v>Adult</v>
      </c>
    </row>
    <row r="216" spans="1:13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28</v>
      </c>
      <c r="G216">
        <v>1</v>
      </c>
      <c r="H216">
        <v>0</v>
      </c>
      <c r="I216">
        <v>367229</v>
      </c>
      <c r="J216">
        <v>7.75</v>
      </c>
      <c r="K216" t="s">
        <v>1237</v>
      </c>
      <c r="L216" t="s">
        <v>27</v>
      </c>
      <c r="M216" t="str">
        <f t="shared" si="3"/>
        <v>Adult</v>
      </c>
    </row>
    <row r="217" spans="1:1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  <c r="M217" t="str">
        <f t="shared" si="3"/>
        <v>Adult</v>
      </c>
    </row>
    <row r="218" spans="1:1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K218" t="s">
        <v>1237</v>
      </c>
      <c r="L218" t="s">
        <v>15</v>
      </c>
      <c r="M218" t="str">
        <f t="shared" si="3"/>
        <v>Adult</v>
      </c>
    </row>
    <row r="219" spans="1:1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1237</v>
      </c>
      <c r="L219" t="s">
        <v>15</v>
      </c>
      <c r="M219" t="str">
        <f t="shared" si="3"/>
        <v>Middle Age</v>
      </c>
    </row>
    <row r="220" spans="1:1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  <c r="M220" t="str">
        <f t="shared" si="3"/>
        <v>Adult</v>
      </c>
    </row>
    <row r="221" spans="1:1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K221" t="s">
        <v>1237</v>
      </c>
      <c r="L221" t="s">
        <v>15</v>
      </c>
      <c r="M221" t="str">
        <f t="shared" si="3"/>
        <v>Adult</v>
      </c>
    </row>
    <row r="222" spans="1:1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K222" t="s">
        <v>1237</v>
      </c>
      <c r="L222" t="s">
        <v>15</v>
      </c>
      <c r="M222" t="str">
        <f t="shared" si="3"/>
        <v>Teenager</v>
      </c>
    </row>
    <row r="223" spans="1:1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1237</v>
      </c>
      <c r="L223" t="s">
        <v>15</v>
      </c>
      <c r="M223" t="str">
        <f t="shared" si="3"/>
        <v>Adult</v>
      </c>
    </row>
    <row r="224" spans="1:1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1237</v>
      </c>
      <c r="L224" t="s">
        <v>15</v>
      </c>
      <c r="M224" t="str">
        <f t="shared" si="3"/>
        <v>Middle Age</v>
      </c>
    </row>
    <row r="225" spans="1:13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K225" t="s">
        <v>1237</v>
      </c>
      <c r="L225" t="s">
        <v>15</v>
      </c>
      <c r="M225" t="str">
        <f t="shared" si="3"/>
        <v>Adult</v>
      </c>
    </row>
    <row r="226" spans="1:1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  <c r="M226" t="str">
        <f t="shared" si="3"/>
        <v>Adult</v>
      </c>
    </row>
    <row r="227" spans="1:1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K227" t="s">
        <v>1237</v>
      </c>
      <c r="L227" t="s">
        <v>15</v>
      </c>
      <c r="M227" t="str">
        <f t="shared" si="3"/>
        <v>Adult</v>
      </c>
    </row>
    <row r="228" spans="1:1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K228" t="s">
        <v>1237</v>
      </c>
      <c r="L228" t="s">
        <v>15</v>
      </c>
      <c r="M228" t="str">
        <f t="shared" si="3"/>
        <v>Teenager</v>
      </c>
    </row>
    <row r="229" spans="1:1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K229" t="s">
        <v>1237</v>
      </c>
      <c r="L229" t="s">
        <v>15</v>
      </c>
      <c r="M229" t="str">
        <f t="shared" si="3"/>
        <v>Adult</v>
      </c>
    </row>
    <row r="230" spans="1:1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1237</v>
      </c>
      <c r="L230" t="s">
        <v>15</v>
      </c>
      <c r="M230" t="str">
        <f t="shared" si="3"/>
        <v>Teenager</v>
      </c>
    </row>
    <row r="231" spans="1:13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K231" t="s">
        <v>1237</v>
      </c>
      <c r="L231" t="s">
        <v>15</v>
      </c>
      <c r="M231" t="str">
        <f t="shared" si="3"/>
        <v>Adult</v>
      </c>
    </row>
    <row r="232" spans="1:1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  <c r="M232" t="str">
        <f t="shared" si="3"/>
        <v>Adult</v>
      </c>
    </row>
    <row r="233" spans="1:1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1237</v>
      </c>
      <c r="L233" t="s">
        <v>15</v>
      </c>
      <c r="M233" t="str">
        <f t="shared" si="3"/>
        <v>Adult</v>
      </c>
    </row>
    <row r="234" spans="1:1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1237</v>
      </c>
      <c r="L234" t="s">
        <v>15</v>
      </c>
      <c r="M234" t="str">
        <f t="shared" si="3"/>
        <v>Middle Age</v>
      </c>
    </row>
    <row r="235" spans="1:1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1237</v>
      </c>
      <c r="L235" t="s">
        <v>15</v>
      </c>
      <c r="M235" t="str">
        <f t="shared" si="3"/>
        <v>Child</v>
      </c>
    </row>
    <row r="236" spans="1:1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K236" t="s">
        <v>1237</v>
      </c>
      <c r="L236" t="s">
        <v>15</v>
      </c>
      <c r="M236" t="str">
        <f t="shared" si="3"/>
        <v>Adult</v>
      </c>
    </row>
    <row r="237" spans="1:13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28</v>
      </c>
      <c r="G237">
        <v>0</v>
      </c>
      <c r="H237">
        <v>0</v>
      </c>
      <c r="I237" t="s">
        <v>358</v>
      </c>
      <c r="J237">
        <v>7.55</v>
      </c>
      <c r="K237" t="s">
        <v>1237</v>
      </c>
      <c r="L237" t="s">
        <v>15</v>
      </c>
      <c r="M237" t="str">
        <f t="shared" si="3"/>
        <v>Adult</v>
      </c>
    </row>
    <row r="238" spans="1:1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1237</v>
      </c>
      <c r="L238" t="s">
        <v>15</v>
      </c>
      <c r="M238" t="str">
        <f t="shared" si="3"/>
        <v>Middle Age</v>
      </c>
    </row>
    <row r="239" spans="1:1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K239" t="s">
        <v>1237</v>
      </c>
      <c r="L239" t="s">
        <v>15</v>
      </c>
      <c r="M239" t="str">
        <f t="shared" si="3"/>
        <v>Child</v>
      </c>
    </row>
    <row r="240" spans="1:1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1237</v>
      </c>
      <c r="L240" t="s">
        <v>15</v>
      </c>
      <c r="M240" t="str">
        <f t="shared" si="3"/>
        <v>Teenager</v>
      </c>
    </row>
    <row r="241" spans="1:1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K241" t="s">
        <v>1237</v>
      </c>
      <c r="L241" t="s">
        <v>15</v>
      </c>
      <c r="M241" t="str">
        <f t="shared" si="3"/>
        <v>Adult</v>
      </c>
    </row>
    <row r="242" spans="1:13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28</v>
      </c>
      <c r="G242">
        <v>1</v>
      </c>
      <c r="H242">
        <v>0</v>
      </c>
      <c r="I242">
        <v>2665</v>
      </c>
      <c r="J242">
        <v>14.4542</v>
      </c>
      <c r="K242" t="s">
        <v>1237</v>
      </c>
      <c r="L242" t="s">
        <v>20</v>
      </c>
      <c r="M242" t="str">
        <f t="shared" si="3"/>
        <v>Adult</v>
      </c>
    </row>
    <row r="243" spans="1:13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28</v>
      </c>
      <c r="G243">
        <v>1</v>
      </c>
      <c r="H243">
        <v>0</v>
      </c>
      <c r="I243">
        <v>367230</v>
      </c>
      <c r="J243">
        <v>15.5</v>
      </c>
      <c r="K243" t="s">
        <v>1237</v>
      </c>
      <c r="L243" t="s">
        <v>27</v>
      </c>
      <c r="M243" t="str">
        <f t="shared" si="3"/>
        <v>Adult</v>
      </c>
    </row>
    <row r="244" spans="1:1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K244" t="s">
        <v>1237</v>
      </c>
      <c r="L244" t="s">
        <v>15</v>
      </c>
      <c r="M244" t="str">
        <f t="shared" si="3"/>
        <v>Adult</v>
      </c>
    </row>
    <row r="245" spans="1:1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K245" t="s">
        <v>1237</v>
      </c>
      <c r="L245" t="s">
        <v>15</v>
      </c>
      <c r="M245" t="str">
        <f t="shared" si="3"/>
        <v>Adult</v>
      </c>
    </row>
    <row r="246" spans="1:1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1237</v>
      </c>
      <c r="L246" t="s">
        <v>20</v>
      </c>
      <c r="M246" t="str">
        <f t="shared" si="3"/>
        <v>Adult</v>
      </c>
    </row>
    <row r="247" spans="1:1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  <c r="M247" t="str">
        <f t="shared" si="3"/>
        <v>Middle Age</v>
      </c>
    </row>
    <row r="248" spans="1:1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1237</v>
      </c>
      <c r="L248" t="s">
        <v>15</v>
      </c>
      <c r="M248" t="str">
        <f t="shared" si="3"/>
        <v>Adult</v>
      </c>
    </row>
    <row r="249" spans="1:1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1237</v>
      </c>
      <c r="L249" t="s">
        <v>15</v>
      </c>
      <c r="M249" t="str">
        <f t="shared" si="3"/>
        <v>Adult</v>
      </c>
    </row>
    <row r="250" spans="1:1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  <c r="M250" t="str">
        <f t="shared" si="3"/>
        <v>Adult</v>
      </c>
    </row>
    <row r="251" spans="1:1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1237</v>
      </c>
      <c r="L251" t="s">
        <v>15</v>
      </c>
      <c r="M251" t="str">
        <f t="shared" si="3"/>
        <v>Middle Age</v>
      </c>
    </row>
    <row r="252" spans="1:13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28</v>
      </c>
      <c r="G252">
        <v>0</v>
      </c>
      <c r="H252">
        <v>0</v>
      </c>
      <c r="I252">
        <v>362316</v>
      </c>
      <c r="J252">
        <v>7.25</v>
      </c>
      <c r="K252" t="s">
        <v>1237</v>
      </c>
      <c r="L252" t="s">
        <v>15</v>
      </c>
      <c r="M252" t="str">
        <f t="shared" si="3"/>
        <v>Adult</v>
      </c>
    </row>
    <row r="253" spans="1:1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  <c r="M253" t="str">
        <f t="shared" si="3"/>
        <v>Adult</v>
      </c>
    </row>
    <row r="254" spans="1:1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  <c r="M254" t="str">
        <f t="shared" si="3"/>
        <v>Senior</v>
      </c>
    </row>
    <row r="255" spans="1:1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K255" t="s">
        <v>1237</v>
      </c>
      <c r="L255" t="s">
        <v>15</v>
      </c>
      <c r="M255" t="str">
        <f t="shared" si="3"/>
        <v>Adult</v>
      </c>
    </row>
    <row r="256" spans="1:1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1237</v>
      </c>
      <c r="L256" t="s">
        <v>15</v>
      </c>
      <c r="M256" t="str">
        <f t="shared" si="3"/>
        <v>Middle Age</v>
      </c>
    </row>
    <row r="257" spans="1:1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1237</v>
      </c>
      <c r="L257" t="s">
        <v>20</v>
      </c>
      <c r="M257" t="str">
        <f t="shared" si="3"/>
        <v>Adult</v>
      </c>
    </row>
    <row r="258" spans="1:13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28</v>
      </c>
      <c r="G258">
        <v>0</v>
      </c>
      <c r="H258">
        <v>0</v>
      </c>
      <c r="I258" t="s">
        <v>388</v>
      </c>
      <c r="J258">
        <v>79.2</v>
      </c>
      <c r="K258" t="s">
        <v>1237</v>
      </c>
      <c r="L258" t="s">
        <v>20</v>
      </c>
      <c r="M258" t="str">
        <f t="shared" ref="M258:M321" si="4">IF(F258&lt;13,"Child",IF(F258&lt;20,"Teenager",IF(F258&lt;40,"Adult",IF(F258&lt;60,"Middle Age","Senior"))))</f>
        <v>Adult</v>
      </c>
    </row>
    <row r="259" spans="1:1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  <c r="M259" t="str">
        <f t="shared" si="4"/>
        <v>Adult</v>
      </c>
    </row>
    <row r="260" spans="1:1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K260" t="s">
        <v>1237</v>
      </c>
      <c r="L260" t="s">
        <v>20</v>
      </c>
      <c r="M260" t="str">
        <f t="shared" si="4"/>
        <v>Adult</v>
      </c>
    </row>
    <row r="261" spans="1:1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1237</v>
      </c>
      <c r="L261" t="s">
        <v>15</v>
      </c>
      <c r="M261" t="str">
        <f t="shared" si="4"/>
        <v>Middle Age</v>
      </c>
    </row>
    <row r="262" spans="1:13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28</v>
      </c>
      <c r="G262">
        <v>0</v>
      </c>
      <c r="H262">
        <v>0</v>
      </c>
      <c r="I262">
        <v>384461</v>
      </c>
      <c r="J262">
        <v>7.75</v>
      </c>
      <c r="K262" t="s">
        <v>1237</v>
      </c>
      <c r="L262" t="s">
        <v>27</v>
      </c>
      <c r="M262" t="str">
        <f t="shared" si="4"/>
        <v>Adult</v>
      </c>
    </row>
    <row r="263" spans="1:1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1237</v>
      </c>
      <c r="L263" t="s">
        <v>15</v>
      </c>
      <c r="M263" t="str">
        <f t="shared" si="4"/>
        <v>Child</v>
      </c>
    </row>
    <row r="264" spans="1:1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  <c r="M264" t="str">
        <f t="shared" si="4"/>
        <v>Middle Age</v>
      </c>
    </row>
    <row r="265" spans="1:1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  <c r="M265" t="str">
        <f t="shared" si="4"/>
        <v>Middle Age</v>
      </c>
    </row>
    <row r="266" spans="1:13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28</v>
      </c>
      <c r="G266">
        <v>0</v>
      </c>
      <c r="H266">
        <v>0</v>
      </c>
      <c r="I266">
        <v>382649</v>
      </c>
      <c r="J266">
        <v>7.75</v>
      </c>
      <c r="K266" t="s">
        <v>1237</v>
      </c>
      <c r="L266" t="s">
        <v>27</v>
      </c>
      <c r="M266" t="str">
        <f t="shared" si="4"/>
        <v>Adult</v>
      </c>
    </row>
    <row r="267" spans="1:1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K267" t="s">
        <v>1237</v>
      </c>
      <c r="L267" t="s">
        <v>15</v>
      </c>
      <c r="M267" t="str">
        <f t="shared" si="4"/>
        <v>Adult</v>
      </c>
    </row>
    <row r="268" spans="1:1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1237</v>
      </c>
      <c r="L268" t="s">
        <v>15</v>
      </c>
      <c r="M268" t="str">
        <f t="shared" si="4"/>
        <v>Teenager</v>
      </c>
    </row>
    <row r="269" spans="1:1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1237</v>
      </c>
      <c r="L269" t="s">
        <v>15</v>
      </c>
      <c r="M269" t="str">
        <f t="shared" si="4"/>
        <v>Adult</v>
      </c>
    </row>
    <row r="270" spans="1:1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  <c r="M270" t="str">
        <f t="shared" si="4"/>
        <v>Middle Age</v>
      </c>
    </row>
    <row r="271" spans="1:1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  <c r="M271" t="str">
        <f t="shared" si="4"/>
        <v>Adult</v>
      </c>
    </row>
    <row r="272" spans="1:13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28</v>
      </c>
      <c r="G272">
        <v>0</v>
      </c>
      <c r="H272">
        <v>0</v>
      </c>
      <c r="I272">
        <v>113798</v>
      </c>
      <c r="J272">
        <v>31</v>
      </c>
      <c r="K272" t="s">
        <v>1237</v>
      </c>
      <c r="L272" t="s">
        <v>15</v>
      </c>
      <c r="M272" t="str">
        <f t="shared" si="4"/>
        <v>Adult</v>
      </c>
    </row>
    <row r="273" spans="1:1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K273" t="s">
        <v>1237</v>
      </c>
      <c r="L273" t="s">
        <v>15</v>
      </c>
      <c r="M273" t="str">
        <f t="shared" si="4"/>
        <v>Adult</v>
      </c>
    </row>
    <row r="274" spans="1:1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1237</v>
      </c>
      <c r="L274" t="s">
        <v>15</v>
      </c>
      <c r="M274" t="str">
        <f t="shared" si="4"/>
        <v>Middle Age</v>
      </c>
    </row>
    <row r="275" spans="1:1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  <c r="M275" t="str">
        <f t="shared" si="4"/>
        <v>Adult</v>
      </c>
    </row>
    <row r="276" spans="1:13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28</v>
      </c>
      <c r="G276">
        <v>0</v>
      </c>
      <c r="H276">
        <v>0</v>
      </c>
      <c r="I276">
        <v>370375</v>
      </c>
      <c r="J276">
        <v>7.75</v>
      </c>
      <c r="K276" t="s">
        <v>1237</v>
      </c>
      <c r="L276" t="s">
        <v>27</v>
      </c>
      <c r="M276" t="str">
        <f t="shared" si="4"/>
        <v>Adult</v>
      </c>
    </row>
    <row r="277" spans="1:1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  <c r="M277" t="str">
        <f t="shared" si="4"/>
        <v>Senior</v>
      </c>
    </row>
    <row r="278" spans="1:1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1237</v>
      </c>
      <c r="L278" t="s">
        <v>15</v>
      </c>
      <c r="M278" t="str">
        <f t="shared" si="4"/>
        <v>Middle Age</v>
      </c>
    </row>
    <row r="279" spans="1:13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28</v>
      </c>
      <c r="G279">
        <v>0</v>
      </c>
      <c r="H279">
        <v>0</v>
      </c>
      <c r="I279">
        <v>239853</v>
      </c>
      <c r="J279">
        <v>0</v>
      </c>
      <c r="K279" t="s">
        <v>1237</v>
      </c>
      <c r="L279" t="s">
        <v>15</v>
      </c>
      <c r="M279" t="str">
        <f t="shared" si="4"/>
        <v>Adult</v>
      </c>
    </row>
    <row r="280" spans="1:1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1237</v>
      </c>
      <c r="L280" t="s">
        <v>27</v>
      </c>
      <c r="M280" t="str">
        <f t="shared" si="4"/>
        <v>Child</v>
      </c>
    </row>
    <row r="281" spans="1:1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K281" t="s">
        <v>1237</v>
      </c>
      <c r="L281" t="s">
        <v>15</v>
      </c>
      <c r="M281" t="str">
        <f t="shared" si="4"/>
        <v>Adult</v>
      </c>
    </row>
    <row r="282" spans="1:1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1237</v>
      </c>
      <c r="L282" t="s">
        <v>27</v>
      </c>
      <c r="M282" t="str">
        <f t="shared" si="4"/>
        <v>Senior</v>
      </c>
    </row>
    <row r="283" spans="1:1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1237</v>
      </c>
      <c r="L283" t="s">
        <v>15</v>
      </c>
      <c r="M283" t="str">
        <f t="shared" si="4"/>
        <v>Adult</v>
      </c>
    </row>
    <row r="284" spans="1:1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1237</v>
      </c>
      <c r="L284" t="s">
        <v>15</v>
      </c>
      <c r="M284" t="str">
        <f t="shared" si="4"/>
        <v>Teenager</v>
      </c>
    </row>
    <row r="285" spans="1:1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K285" t="s">
        <v>1237</v>
      </c>
      <c r="L285" t="s">
        <v>15</v>
      </c>
      <c r="M285" t="str">
        <f t="shared" si="4"/>
        <v>Teenager</v>
      </c>
    </row>
    <row r="286" spans="1:13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  <c r="M286" t="str">
        <f t="shared" si="4"/>
        <v>Adult</v>
      </c>
    </row>
    <row r="287" spans="1:1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1237</v>
      </c>
      <c r="L287" t="s">
        <v>20</v>
      </c>
      <c r="M287" t="str">
        <f t="shared" si="4"/>
        <v>Adult</v>
      </c>
    </row>
    <row r="288" spans="1:1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1237</v>
      </c>
      <c r="L288" t="s">
        <v>15</v>
      </c>
      <c r="M288" t="str">
        <f t="shared" si="4"/>
        <v>Adult</v>
      </c>
    </row>
    <row r="289" spans="1:1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1237</v>
      </c>
      <c r="L289" t="s">
        <v>15</v>
      </c>
      <c r="M289" t="str">
        <f t="shared" si="4"/>
        <v>Adult</v>
      </c>
    </row>
    <row r="290" spans="1:1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1237</v>
      </c>
      <c r="L290" t="s">
        <v>15</v>
      </c>
      <c r="M290" t="str">
        <f t="shared" si="4"/>
        <v>Middle Age</v>
      </c>
    </row>
    <row r="291" spans="1:1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1237</v>
      </c>
      <c r="L291" t="s">
        <v>27</v>
      </c>
      <c r="M291" t="str">
        <f t="shared" si="4"/>
        <v>Adult</v>
      </c>
    </row>
    <row r="292" spans="1:1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1237</v>
      </c>
      <c r="L292" t="s">
        <v>15</v>
      </c>
      <c r="M292" t="str">
        <f t="shared" si="4"/>
        <v>Adult</v>
      </c>
    </row>
    <row r="293" spans="1:1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  <c r="M293" t="str">
        <f t="shared" si="4"/>
        <v>Teenager</v>
      </c>
    </row>
    <row r="294" spans="1:1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  <c r="M294" t="str">
        <f t="shared" si="4"/>
        <v>Adult</v>
      </c>
    </row>
    <row r="295" spans="1:1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1237</v>
      </c>
      <c r="L295" t="s">
        <v>15</v>
      </c>
      <c r="M295" t="str">
        <f t="shared" si="4"/>
        <v>Adult</v>
      </c>
    </row>
    <row r="296" spans="1:1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1237</v>
      </c>
      <c r="L296" t="s">
        <v>15</v>
      </c>
      <c r="M296" t="str">
        <f t="shared" si="4"/>
        <v>Adult</v>
      </c>
    </row>
    <row r="297" spans="1:13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28</v>
      </c>
      <c r="G297">
        <v>0</v>
      </c>
      <c r="H297">
        <v>0</v>
      </c>
      <c r="I297" t="s">
        <v>446</v>
      </c>
      <c r="J297">
        <v>27.720800000000001</v>
      </c>
      <c r="K297" t="s">
        <v>1237</v>
      </c>
      <c r="L297" t="s">
        <v>20</v>
      </c>
      <c r="M297" t="str">
        <f t="shared" si="4"/>
        <v>Adult</v>
      </c>
    </row>
    <row r="298" spans="1:1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1237</v>
      </c>
      <c r="L298" t="s">
        <v>20</v>
      </c>
      <c r="M298" t="str">
        <f t="shared" si="4"/>
        <v>Adult</v>
      </c>
    </row>
    <row r="299" spans="1:1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  <c r="M299" t="str">
        <f t="shared" si="4"/>
        <v>Child</v>
      </c>
    </row>
    <row r="300" spans="1:13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  <c r="M300" t="str">
        <f t="shared" si="4"/>
        <v>Adult</v>
      </c>
    </row>
    <row r="301" spans="1:1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  <c r="M301" t="str">
        <f t="shared" si="4"/>
        <v>Middle Age</v>
      </c>
    </row>
    <row r="302" spans="1:13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28</v>
      </c>
      <c r="G302">
        <v>0</v>
      </c>
      <c r="H302">
        <v>0</v>
      </c>
      <c r="I302">
        <v>9234</v>
      </c>
      <c r="J302">
        <v>7.75</v>
      </c>
      <c r="K302" t="s">
        <v>1237</v>
      </c>
      <c r="L302" t="s">
        <v>27</v>
      </c>
      <c r="M302" t="str">
        <f t="shared" si="4"/>
        <v>Adult</v>
      </c>
    </row>
    <row r="303" spans="1:13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28</v>
      </c>
      <c r="G303">
        <v>2</v>
      </c>
      <c r="H303">
        <v>0</v>
      </c>
      <c r="I303">
        <v>367226</v>
      </c>
      <c r="J303">
        <v>23.25</v>
      </c>
      <c r="K303" t="s">
        <v>1237</v>
      </c>
      <c r="L303" t="s">
        <v>27</v>
      </c>
      <c r="M303" t="str">
        <f t="shared" si="4"/>
        <v>Adult</v>
      </c>
    </row>
    <row r="304" spans="1:1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K304" t="s">
        <v>1237</v>
      </c>
      <c r="L304" t="s">
        <v>15</v>
      </c>
      <c r="M304" t="str">
        <f t="shared" si="4"/>
        <v>Teenager</v>
      </c>
    </row>
    <row r="305" spans="1:13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  <c r="M305" t="str">
        <f t="shared" si="4"/>
        <v>Adult</v>
      </c>
    </row>
    <row r="306" spans="1:13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28</v>
      </c>
      <c r="G306">
        <v>0</v>
      </c>
      <c r="H306">
        <v>0</v>
      </c>
      <c r="I306" t="s">
        <v>458</v>
      </c>
      <c r="J306">
        <v>8.0500000000000007</v>
      </c>
      <c r="K306" t="s">
        <v>1237</v>
      </c>
      <c r="L306" t="s">
        <v>15</v>
      </c>
      <c r="M306" t="str">
        <f t="shared" si="4"/>
        <v>Adult</v>
      </c>
    </row>
    <row r="307" spans="1:1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  <c r="M307" t="str">
        <f t="shared" si="4"/>
        <v>Child</v>
      </c>
    </row>
    <row r="308" spans="1:13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K308" t="s">
        <v>1237</v>
      </c>
      <c r="L308" t="s">
        <v>20</v>
      </c>
      <c r="M308" t="str">
        <f t="shared" si="4"/>
        <v>Adult</v>
      </c>
    </row>
    <row r="309" spans="1:1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  <c r="M309" t="str">
        <f t="shared" si="4"/>
        <v>Teenager</v>
      </c>
    </row>
    <row r="310" spans="1:1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K310" t="s">
        <v>1237</v>
      </c>
      <c r="L310" t="s">
        <v>20</v>
      </c>
      <c r="M310" t="str">
        <f t="shared" si="4"/>
        <v>Adult</v>
      </c>
    </row>
    <row r="311" spans="1:1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  <c r="M311" t="str">
        <f t="shared" si="4"/>
        <v>Adult</v>
      </c>
    </row>
    <row r="312" spans="1:1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  <c r="M312" t="str">
        <f t="shared" si="4"/>
        <v>Adult</v>
      </c>
    </row>
    <row r="313" spans="1:1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  <c r="M313" t="str">
        <f t="shared" si="4"/>
        <v>Teenager</v>
      </c>
    </row>
    <row r="314" spans="1:1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1237</v>
      </c>
      <c r="L314" t="s">
        <v>15</v>
      </c>
      <c r="M314" t="str">
        <f t="shared" si="4"/>
        <v>Adult</v>
      </c>
    </row>
    <row r="315" spans="1:1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1237</v>
      </c>
      <c r="L315" t="s">
        <v>15</v>
      </c>
      <c r="M315" t="str">
        <f t="shared" si="4"/>
        <v>Adult</v>
      </c>
    </row>
    <row r="316" spans="1:1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K316" t="s">
        <v>1237</v>
      </c>
      <c r="L316" t="s">
        <v>15</v>
      </c>
      <c r="M316" t="str">
        <f t="shared" si="4"/>
        <v>Middle Age</v>
      </c>
    </row>
    <row r="317" spans="1:1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1237</v>
      </c>
      <c r="L317" t="s">
        <v>15</v>
      </c>
      <c r="M317" t="str">
        <f t="shared" si="4"/>
        <v>Adult</v>
      </c>
    </row>
    <row r="318" spans="1:1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1237</v>
      </c>
      <c r="L318" t="s">
        <v>15</v>
      </c>
      <c r="M318" t="str">
        <f t="shared" si="4"/>
        <v>Adult</v>
      </c>
    </row>
    <row r="319" spans="1:1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1237</v>
      </c>
      <c r="L319" t="s">
        <v>15</v>
      </c>
      <c r="M319" t="str">
        <f t="shared" si="4"/>
        <v>Middle Age</v>
      </c>
    </row>
    <row r="320" spans="1:1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  <c r="M320" t="str">
        <f t="shared" si="4"/>
        <v>Adult</v>
      </c>
    </row>
    <row r="321" spans="1:1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  <c r="M321" t="str">
        <f t="shared" si="4"/>
        <v>Middle Age</v>
      </c>
    </row>
    <row r="322" spans="1:1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K322" t="s">
        <v>1237</v>
      </c>
      <c r="L322" t="s">
        <v>15</v>
      </c>
      <c r="M322" t="str">
        <f t="shared" ref="M322:M385" si="5">IF(F322&lt;13,"Child",IF(F322&lt;20,"Teenager",IF(F322&lt;40,"Adult",IF(F322&lt;60,"Middle Age","Senior"))))</f>
        <v>Adult</v>
      </c>
    </row>
    <row r="323" spans="1:1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1237</v>
      </c>
      <c r="L323" t="s">
        <v>15</v>
      </c>
      <c r="M323" t="str">
        <f t="shared" si="5"/>
        <v>Adult</v>
      </c>
    </row>
    <row r="324" spans="1:1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1237</v>
      </c>
      <c r="L324" t="s">
        <v>27</v>
      </c>
      <c r="M324" t="str">
        <f t="shared" si="5"/>
        <v>Adult</v>
      </c>
    </row>
    <row r="325" spans="1:1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1237</v>
      </c>
      <c r="L325" t="s">
        <v>15</v>
      </c>
      <c r="M325" t="str">
        <f t="shared" si="5"/>
        <v>Adult</v>
      </c>
    </row>
    <row r="326" spans="1:13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28</v>
      </c>
      <c r="G326">
        <v>8</v>
      </c>
      <c r="H326">
        <v>2</v>
      </c>
      <c r="I326" t="s">
        <v>251</v>
      </c>
      <c r="J326">
        <v>69.55</v>
      </c>
      <c r="K326" t="s">
        <v>1237</v>
      </c>
      <c r="L326" t="s">
        <v>15</v>
      </c>
      <c r="M326" t="str">
        <f t="shared" si="5"/>
        <v>Adult</v>
      </c>
    </row>
    <row r="327" spans="1:1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  <c r="M327" t="str">
        <f t="shared" si="5"/>
        <v>Adult</v>
      </c>
    </row>
    <row r="328" spans="1:1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1237</v>
      </c>
      <c r="L328" t="s">
        <v>15</v>
      </c>
      <c r="M328" t="str">
        <f t="shared" si="5"/>
        <v>Senior</v>
      </c>
    </row>
    <row r="329" spans="1:1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  <c r="M329" t="str">
        <f t="shared" si="5"/>
        <v>Adult</v>
      </c>
    </row>
    <row r="330" spans="1:1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1237</v>
      </c>
      <c r="L330" t="s">
        <v>15</v>
      </c>
      <c r="M330" t="str">
        <f t="shared" si="5"/>
        <v>Adult</v>
      </c>
    </row>
    <row r="331" spans="1:1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  <c r="M331" t="str">
        <f t="shared" si="5"/>
        <v>Teenager</v>
      </c>
    </row>
    <row r="332" spans="1:13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28</v>
      </c>
      <c r="G332">
        <v>2</v>
      </c>
      <c r="H332">
        <v>0</v>
      </c>
      <c r="I332">
        <v>367226</v>
      </c>
      <c r="J332">
        <v>23.25</v>
      </c>
      <c r="K332" t="s">
        <v>1237</v>
      </c>
      <c r="L332" t="s">
        <v>27</v>
      </c>
      <c r="M332" t="str">
        <f t="shared" si="5"/>
        <v>Adult</v>
      </c>
    </row>
    <row r="333" spans="1:1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  <c r="M333" t="str">
        <f t="shared" si="5"/>
        <v>Middle Age</v>
      </c>
    </row>
    <row r="334" spans="1:1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  <c r="M334" t="str">
        <f t="shared" si="5"/>
        <v>Adult</v>
      </c>
    </row>
    <row r="335" spans="1:1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1237</v>
      </c>
      <c r="L335" t="s">
        <v>15</v>
      </c>
      <c r="M335" t="str">
        <f t="shared" si="5"/>
        <v>Teenager</v>
      </c>
    </row>
    <row r="336" spans="1:13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28</v>
      </c>
      <c r="G336">
        <v>1</v>
      </c>
      <c r="H336">
        <v>0</v>
      </c>
      <c r="I336" t="s">
        <v>505</v>
      </c>
      <c r="J336">
        <v>133.65</v>
      </c>
      <c r="K336" t="s">
        <v>1237</v>
      </c>
      <c r="L336" t="s">
        <v>15</v>
      </c>
      <c r="M336" t="str">
        <f t="shared" si="5"/>
        <v>Adult</v>
      </c>
    </row>
    <row r="337" spans="1:13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K337" t="s">
        <v>1237</v>
      </c>
      <c r="L337" t="s">
        <v>15</v>
      </c>
      <c r="M337" t="str">
        <f t="shared" si="5"/>
        <v>Adult</v>
      </c>
    </row>
    <row r="338" spans="1:1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  <c r="M338" t="str">
        <f t="shared" si="5"/>
        <v>Adult</v>
      </c>
    </row>
    <row r="339" spans="1:1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  <c r="M339" t="str">
        <f t="shared" si="5"/>
        <v>Middle Age</v>
      </c>
    </row>
    <row r="340" spans="1:1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1237</v>
      </c>
      <c r="L340" t="s">
        <v>15</v>
      </c>
      <c r="M340" t="str">
        <f t="shared" si="5"/>
        <v>Middle Age</v>
      </c>
    </row>
    <row r="341" spans="1:1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  <c r="M341" t="str">
        <f t="shared" si="5"/>
        <v>Middle Age</v>
      </c>
    </row>
    <row r="342" spans="1:1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  <c r="M342" t="str">
        <f t="shared" si="5"/>
        <v>Child</v>
      </c>
    </row>
    <row r="343" spans="1:1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  <c r="M343" t="str">
        <f t="shared" si="5"/>
        <v>Adult</v>
      </c>
    </row>
    <row r="344" spans="1:1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1237</v>
      </c>
      <c r="L344" t="s">
        <v>15</v>
      </c>
      <c r="M344" t="str">
        <f t="shared" si="5"/>
        <v>Adult</v>
      </c>
    </row>
    <row r="345" spans="1:1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1237</v>
      </c>
      <c r="L345" t="s">
        <v>15</v>
      </c>
      <c r="M345" t="str">
        <f t="shared" si="5"/>
        <v>Adult</v>
      </c>
    </row>
    <row r="346" spans="1:1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1237</v>
      </c>
      <c r="L346" t="s">
        <v>15</v>
      </c>
      <c r="M346" t="str">
        <f t="shared" si="5"/>
        <v>Adult</v>
      </c>
    </row>
    <row r="347" spans="1:1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  <c r="M347" t="str">
        <f t="shared" si="5"/>
        <v>Adult</v>
      </c>
    </row>
    <row r="348" spans="1:1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1237</v>
      </c>
      <c r="L348" t="s">
        <v>15</v>
      </c>
      <c r="M348" t="str">
        <f t="shared" si="5"/>
        <v>Middle Age</v>
      </c>
    </row>
    <row r="349" spans="1:13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K349" t="s">
        <v>1237</v>
      </c>
      <c r="L349" t="s">
        <v>15</v>
      </c>
      <c r="M349" t="str">
        <f t="shared" si="5"/>
        <v>Adult</v>
      </c>
    </row>
    <row r="350" spans="1:1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K350" t="s">
        <v>1237</v>
      </c>
      <c r="L350" t="s">
        <v>15</v>
      </c>
      <c r="M350" t="str">
        <f t="shared" si="5"/>
        <v>Child</v>
      </c>
    </row>
    <row r="351" spans="1:1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1237</v>
      </c>
      <c r="L351" t="s">
        <v>15</v>
      </c>
      <c r="M351" t="str">
        <f t="shared" si="5"/>
        <v>Middle Age</v>
      </c>
    </row>
    <row r="352" spans="1:1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1237</v>
      </c>
      <c r="L352" t="s">
        <v>15</v>
      </c>
      <c r="M352" t="str">
        <f t="shared" si="5"/>
        <v>Adult</v>
      </c>
    </row>
    <row r="353" spans="1:13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  <c r="M353" t="str">
        <f t="shared" si="5"/>
        <v>Adult</v>
      </c>
    </row>
    <row r="354" spans="1:1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1237</v>
      </c>
      <c r="L354" t="s">
        <v>20</v>
      </c>
      <c r="M354" t="str">
        <f t="shared" si="5"/>
        <v>Teenager</v>
      </c>
    </row>
    <row r="355" spans="1:1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1237</v>
      </c>
      <c r="L355" t="s">
        <v>15</v>
      </c>
      <c r="M355" t="str">
        <f t="shared" si="5"/>
        <v>Adult</v>
      </c>
    </row>
    <row r="356" spans="1:13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K356" t="s">
        <v>1237</v>
      </c>
      <c r="L356" t="s">
        <v>20</v>
      </c>
      <c r="M356" t="str">
        <f t="shared" si="5"/>
        <v>Adult</v>
      </c>
    </row>
    <row r="357" spans="1:1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1237</v>
      </c>
      <c r="L357" t="s">
        <v>15</v>
      </c>
      <c r="M357" t="str">
        <f t="shared" si="5"/>
        <v>Adult</v>
      </c>
    </row>
    <row r="358" spans="1:1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  <c r="M358" t="str">
        <f t="shared" si="5"/>
        <v>Adult</v>
      </c>
    </row>
    <row r="359" spans="1:1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1237</v>
      </c>
      <c r="L359" t="s">
        <v>15</v>
      </c>
      <c r="M359" t="str">
        <f t="shared" si="5"/>
        <v>Adult</v>
      </c>
    </row>
    <row r="360" spans="1:13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28</v>
      </c>
      <c r="G360">
        <v>0</v>
      </c>
      <c r="H360">
        <v>0</v>
      </c>
      <c r="I360">
        <v>330931</v>
      </c>
      <c r="J360">
        <v>7.8792</v>
      </c>
      <c r="K360" t="s">
        <v>1237</v>
      </c>
      <c r="L360" t="s">
        <v>27</v>
      </c>
      <c r="M360" t="str">
        <f t="shared" si="5"/>
        <v>Adult</v>
      </c>
    </row>
    <row r="361" spans="1:13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28</v>
      </c>
      <c r="G361">
        <v>0</v>
      </c>
      <c r="H361">
        <v>0</v>
      </c>
      <c r="I361">
        <v>330980</v>
      </c>
      <c r="J361">
        <v>7.8792</v>
      </c>
      <c r="K361" t="s">
        <v>1237</v>
      </c>
      <c r="L361" t="s">
        <v>27</v>
      </c>
      <c r="M361" t="str">
        <f t="shared" si="5"/>
        <v>Adult</v>
      </c>
    </row>
    <row r="362" spans="1:1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1237</v>
      </c>
      <c r="L362" t="s">
        <v>15</v>
      </c>
      <c r="M362" t="str">
        <f t="shared" si="5"/>
        <v>Middle Age</v>
      </c>
    </row>
    <row r="363" spans="1:1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K363" t="s">
        <v>1237</v>
      </c>
      <c r="L363" t="s">
        <v>20</v>
      </c>
      <c r="M363" t="str">
        <f t="shared" si="5"/>
        <v>Adult</v>
      </c>
    </row>
    <row r="364" spans="1:1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1237</v>
      </c>
      <c r="L364" t="s">
        <v>20</v>
      </c>
      <c r="M364" t="str">
        <f t="shared" si="5"/>
        <v>Middle Age</v>
      </c>
    </row>
    <row r="365" spans="1:1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K365" t="s">
        <v>1237</v>
      </c>
      <c r="L365" t="s">
        <v>15</v>
      </c>
      <c r="M365" t="str">
        <f t="shared" si="5"/>
        <v>Adult</v>
      </c>
    </row>
    <row r="366" spans="1:13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28</v>
      </c>
      <c r="G366">
        <v>1</v>
      </c>
      <c r="H366">
        <v>0</v>
      </c>
      <c r="I366">
        <v>370365</v>
      </c>
      <c r="J366">
        <v>15.5</v>
      </c>
      <c r="K366" t="s">
        <v>1237</v>
      </c>
      <c r="L366" t="s">
        <v>27</v>
      </c>
      <c r="M366" t="str">
        <f t="shared" si="5"/>
        <v>Adult</v>
      </c>
    </row>
    <row r="367" spans="1:1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K367" t="s">
        <v>1237</v>
      </c>
      <c r="L367" t="s">
        <v>15</v>
      </c>
      <c r="M367" t="str">
        <f t="shared" si="5"/>
        <v>Adult</v>
      </c>
    </row>
    <row r="368" spans="1:1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  <c r="M368" t="str">
        <f t="shared" si="5"/>
        <v>Senior</v>
      </c>
    </row>
    <row r="369" spans="1:13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K369" t="s">
        <v>1237</v>
      </c>
      <c r="L369" t="s">
        <v>20</v>
      </c>
      <c r="M369" t="str">
        <f t="shared" si="5"/>
        <v>Adult</v>
      </c>
    </row>
    <row r="370" spans="1:13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28</v>
      </c>
      <c r="G370">
        <v>0</v>
      </c>
      <c r="H370">
        <v>0</v>
      </c>
      <c r="I370">
        <v>14313</v>
      </c>
      <c r="J370">
        <v>7.75</v>
      </c>
      <c r="K370" t="s">
        <v>1237</v>
      </c>
      <c r="L370" t="s">
        <v>27</v>
      </c>
      <c r="M370" t="str">
        <f t="shared" si="5"/>
        <v>Adult</v>
      </c>
    </row>
    <row r="371" spans="1:1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  <c r="M371" t="str">
        <f t="shared" si="5"/>
        <v>Adult</v>
      </c>
    </row>
    <row r="372" spans="1:1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  <c r="M372" t="str">
        <f t="shared" si="5"/>
        <v>Adult</v>
      </c>
    </row>
    <row r="373" spans="1:1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1237</v>
      </c>
      <c r="L373" t="s">
        <v>15</v>
      </c>
      <c r="M373" t="str">
        <f t="shared" si="5"/>
        <v>Teenager</v>
      </c>
    </row>
    <row r="374" spans="1:1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1237</v>
      </c>
      <c r="L374" t="s">
        <v>15</v>
      </c>
      <c r="M374" t="str">
        <f t="shared" si="5"/>
        <v>Teenager</v>
      </c>
    </row>
    <row r="375" spans="1:1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K375" t="s">
        <v>1237</v>
      </c>
      <c r="L375" t="s">
        <v>20</v>
      </c>
      <c r="M375" t="str">
        <f t="shared" si="5"/>
        <v>Adult</v>
      </c>
    </row>
    <row r="376" spans="1:1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1237</v>
      </c>
      <c r="L376" t="s">
        <v>15</v>
      </c>
      <c r="M376" t="str">
        <f t="shared" si="5"/>
        <v>Child</v>
      </c>
    </row>
    <row r="377" spans="1:13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28</v>
      </c>
      <c r="G377">
        <v>1</v>
      </c>
      <c r="H377">
        <v>0</v>
      </c>
      <c r="I377" t="s">
        <v>69</v>
      </c>
      <c r="J377">
        <v>82.1708</v>
      </c>
      <c r="K377" t="s">
        <v>1237</v>
      </c>
      <c r="L377" t="s">
        <v>20</v>
      </c>
      <c r="M377" t="str">
        <f t="shared" si="5"/>
        <v>Adult</v>
      </c>
    </row>
    <row r="378" spans="1:1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K378" t="s">
        <v>1237</v>
      </c>
      <c r="L378" t="s">
        <v>15</v>
      </c>
      <c r="M378" t="str">
        <f t="shared" si="5"/>
        <v>Adult</v>
      </c>
    </row>
    <row r="379" spans="1:1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  <c r="M379" t="str">
        <f t="shared" si="5"/>
        <v>Adult</v>
      </c>
    </row>
    <row r="380" spans="1:1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1237</v>
      </c>
      <c r="L380" t="s">
        <v>20</v>
      </c>
      <c r="M380" t="str">
        <f t="shared" si="5"/>
        <v>Adult</v>
      </c>
    </row>
    <row r="381" spans="1:1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1237</v>
      </c>
      <c r="L381" t="s">
        <v>15</v>
      </c>
      <c r="M381" t="str">
        <f t="shared" si="5"/>
        <v>Teenager</v>
      </c>
    </row>
    <row r="382" spans="1:1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K382" t="s">
        <v>1237</v>
      </c>
      <c r="L382" t="s">
        <v>20</v>
      </c>
      <c r="M382" t="str">
        <f t="shared" si="5"/>
        <v>Middle Age</v>
      </c>
    </row>
    <row r="383" spans="1:1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1237</v>
      </c>
      <c r="L383" t="s">
        <v>20</v>
      </c>
      <c r="M383" t="str">
        <f t="shared" si="5"/>
        <v>Child</v>
      </c>
    </row>
    <row r="384" spans="1:1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K384" t="s">
        <v>1237</v>
      </c>
      <c r="L384" t="s">
        <v>15</v>
      </c>
      <c r="M384" t="str">
        <f t="shared" si="5"/>
        <v>Adult</v>
      </c>
    </row>
    <row r="385" spans="1:1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1237</v>
      </c>
      <c r="L385" t="s">
        <v>15</v>
      </c>
      <c r="M385" t="str">
        <f t="shared" si="5"/>
        <v>Adult</v>
      </c>
    </row>
    <row r="386" spans="1:13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K386" t="s">
        <v>1237</v>
      </c>
      <c r="L386" t="s">
        <v>15</v>
      </c>
      <c r="M386" t="str">
        <f t="shared" ref="M386:M449" si="6">IF(F386&lt;13,"Child",IF(F386&lt;20,"Teenager",IF(F386&lt;40,"Adult",IF(F386&lt;60,"Middle Age","Senior"))))</f>
        <v>Adult</v>
      </c>
    </row>
    <row r="387" spans="1:1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K387" t="s">
        <v>1237</v>
      </c>
      <c r="L387" t="s">
        <v>15</v>
      </c>
      <c r="M387" t="str">
        <f t="shared" si="6"/>
        <v>Teenager</v>
      </c>
    </row>
    <row r="388" spans="1:1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K388" t="s">
        <v>1237</v>
      </c>
      <c r="L388" t="s">
        <v>15</v>
      </c>
      <c r="M388" t="str">
        <f t="shared" si="6"/>
        <v>Child</v>
      </c>
    </row>
    <row r="389" spans="1:1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1237</v>
      </c>
      <c r="L389" t="s">
        <v>15</v>
      </c>
      <c r="M389" t="str">
        <f t="shared" si="6"/>
        <v>Adult</v>
      </c>
    </row>
    <row r="390" spans="1:13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K390" t="s">
        <v>1237</v>
      </c>
      <c r="L390" t="s">
        <v>27</v>
      </c>
      <c r="M390" t="str">
        <f t="shared" si="6"/>
        <v>Adult</v>
      </c>
    </row>
    <row r="391" spans="1:1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K391" t="s">
        <v>1237</v>
      </c>
      <c r="L391" t="s">
        <v>20</v>
      </c>
      <c r="M391" t="str">
        <f t="shared" si="6"/>
        <v>Teenager</v>
      </c>
    </row>
    <row r="392" spans="1:1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  <c r="M392" t="str">
        <f t="shared" si="6"/>
        <v>Adult</v>
      </c>
    </row>
    <row r="393" spans="1:1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1237</v>
      </c>
      <c r="L393" t="s">
        <v>15</v>
      </c>
      <c r="M393" t="str">
        <f t="shared" si="6"/>
        <v>Adult</v>
      </c>
    </row>
    <row r="394" spans="1:1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1237</v>
      </c>
      <c r="L394" t="s">
        <v>15</v>
      </c>
      <c r="M394" t="str">
        <f t="shared" si="6"/>
        <v>Adult</v>
      </c>
    </row>
    <row r="395" spans="1:1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  <c r="M395" t="str">
        <f t="shared" si="6"/>
        <v>Adult</v>
      </c>
    </row>
    <row r="396" spans="1:1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  <c r="M396" t="str">
        <f t="shared" si="6"/>
        <v>Adult</v>
      </c>
    </row>
    <row r="397" spans="1:1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1237</v>
      </c>
      <c r="L397" t="s">
        <v>15</v>
      </c>
      <c r="M397" t="str">
        <f t="shared" si="6"/>
        <v>Adult</v>
      </c>
    </row>
    <row r="398" spans="1:1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1237</v>
      </c>
      <c r="L398" t="s">
        <v>15</v>
      </c>
      <c r="M398" t="str">
        <f t="shared" si="6"/>
        <v>Adult</v>
      </c>
    </row>
    <row r="399" spans="1:1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1237</v>
      </c>
      <c r="L399" t="s">
        <v>15</v>
      </c>
      <c r="M399" t="str">
        <f t="shared" si="6"/>
        <v>Middle Age</v>
      </c>
    </row>
    <row r="400" spans="1:1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1237</v>
      </c>
      <c r="L400" t="s">
        <v>15</v>
      </c>
      <c r="M400" t="str">
        <f t="shared" si="6"/>
        <v>Adult</v>
      </c>
    </row>
    <row r="401" spans="1:1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1237</v>
      </c>
      <c r="L401" t="s">
        <v>15</v>
      </c>
      <c r="M401" t="str">
        <f t="shared" si="6"/>
        <v>Adult</v>
      </c>
    </row>
    <row r="402" spans="1:1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K402" t="s">
        <v>1237</v>
      </c>
      <c r="L402" t="s">
        <v>15</v>
      </c>
      <c r="M402" t="str">
        <f t="shared" si="6"/>
        <v>Adult</v>
      </c>
    </row>
    <row r="403" spans="1:1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1237</v>
      </c>
      <c r="L403" t="s">
        <v>15</v>
      </c>
      <c r="M403" t="str">
        <f t="shared" si="6"/>
        <v>Adult</v>
      </c>
    </row>
    <row r="404" spans="1:1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1237</v>
      </c>
      <c r="L404" t="s">
        <v>15</v>
      </c>
      <c r="M404" t="str">
        <f t="shared" si="6"/>
        <v>Adult</v>
      </c>
    </row>
    <row r="405" spans="1:1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K405" t="s">
        <v>1237</v>
      </c>
      <c r="L405" t="s">
        <v>15</v>
      </c>
      <c r="M405" t="str">
        <f t="shared" si="6"/>
        <v>Adult</v>
      </c>
    </row>
    <row r="406" spans="1:1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1237</v>
      </c>
      <c r="L406" t="s">
        <v>15</v>
      </c>
      <c r="M406" t="str">
        <f t="shared" si="6"/>
        <v>Adult</v>
      </c>
    </row>
    <row r="407" spans="1:1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1237</v>
      </c>
      <c r="L407" t="s">
        <v>15</v>
      </c>
      <c r="M407" t="str">
        <f t="shared" si="6"/>
        <v>Adult</v>
      </c>
    </row>
    <row r="408" spans="1:1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1237</v>
      </c>
      <c r="L408" t="s">
        <v>15</v>
      </c>
      <c r="M408" t="str">
        <f t="shared" si="6"/>
        <v>Middle Age</v>
      </c>
    </row>
    <row r="409" spans="1:1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1237</v>
      </c>
      <c r="L409" t="s">
        <v>15</v>
      </c>
      <c r="M409" t="str">
        <f t="shared" si="6"/>
        <v>Child</v>
      </c>
    </row>
    <row r="410" spans="1:1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1237</v>
      </c>
      <c r="L410" t="s">
        <v>15</v>
      </c>
      <c r="M410" t="str">
        <f t="shared" si="6"/>
        <v>Adult</v>
      </c>
    </row>
    <row r="411" spans="1:13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K411" t="s">
        <v>1237</v>
      </c>
      <c r="L411" t="s">
        <v>15</v>
      </c>
      <c r="M411" t="str">
        <f t="shared" si="6"/>
        <v>Adult</v>
      </c>
    </row>
    <row r="412" spans="1:13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K412" t="s">
        <v>1237</v>
      </c>
      <c r="L412" t="s">
        <v>15</v>
      </c>
      <c r="M412" t="str">
        <f t="shared" si="6"/>
        <v>Adult</v>
      </c>
    </row>
    <row r="413" spans="1:13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K413" t="s">
        <v>1237</v>
      </c>
      <c r="L413" t="s">
        <v>27</v>
      </c>
      <c r="M413" t="str">
        <f t="shared" si="6"/>
        <v>Adult</v>
      </c>
    </row>
    <row r="414" spans="1:1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  <c r="M414" t="str">
        <f t="shared" si="6"/>
        <v>Adult</v>
      </c>
    </row>
    <row r="415" spans="1:13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28</v>
      </c>
      <c r="G415">
        <v>0</v>
      </c>
      <c r="H415">
        <v>0</v>
      </c>
      <c r="I415">
        <v>239853</v>
      </c>
      <c r="J415">
        <v>0</v>
      </c>
      <c r="K415" t="s">
        <v>1237</v>
      </c>
      <c r="L415" t="s">
        <v>15</v>
      </c>
      <c r="M415" t="str">
        <f t="shared" si="6"/>
        <v>Adult</v>
      </c>
    </row>
    <row r="416" spans="1:1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K416" t="s">
        <v>1237</v>
      </c>
      <c r="L416" t="s">
        <v>15</v>
      </c>
      <c r="M416" t="str">
        <f t="shared" si="6"/>
        <v>Middle Age</v>
      </c>
    </row>
    <row r="417" spans="1:13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K417" t="s">
        <v>1237</v>
      </c>
      <c r="L417" t="s">
        <v>15</v>
      </c>
      <c r="M417" t="str">
        <f t="shared" si="6"/>
        <v>Adult</v>
      </c>
    </row>
    <row r="418" spans="1:1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1237</v>
      </c>
      <c r="L418" t="s">
        <v>15</v>
      </c>
      <c r="M418" t="str">
        <f t="shared" si="6"/>
        <v>Adult</v>
      </c>
    </row>
    <row r="419" spans="1:1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1237</v>
      </c>
      <c r="L419" t="s">
        <v>15</v>
      </c>
      <c r="M419" t="str">
        <f t="shared" si="6"/>
        <v>Teenager</v>
      </c>
    </row>
    <row r="420" spans="1:1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1237</v>
      </c>
      <c r="L420" t="s">
        <v>15</v>
      </c>
      <c r="M420" t="str">
        <f t="shared" si="6"/>
        <v>Adult</v>
      </c>
    </row>
    <row r="421" spans="1:1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1237</v>
      </c>
      <c r="L421" t="s">
        <v>15</v>
      </c>
      <c r="M421" t="str">
        <f t="shared" si="6"/>
        <v>Child</v>
      </c>
    </row>
    <row r="422" spans="1:13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K422" t="s">
        <v>1237</v>
      </c>
      <c r="L422" t="s">
        <v>20</v>
      </c>
      <c r="M422" t="str">
        <f t="shared" si="6"/>
        <v>Adult</v>
      </c>
    </row>
    <row r="423" spans="1:1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K423" t="s">
        <v>1237</v>
      </c>
      <c r="L423" t="s">
        <v>27</v>
      </c>
      <c r="M423" t="str">
        <f t="shared" si="6"/>
        <v>Adult</v>
      </c>
    </row>
    <row r="424" spans="1:1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1237</v>
      </c>
      <c r="L424" t="s">
        <v>15</v>
      </c>
      <c r="M424" t="str">
        <f t="shared" si="6"/>
        <v>Adult</v>
      </c>
    </row>
    <row r="425" spans="1:1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1237</v>
      </c>
      <c r="L425" t="s">
        <v>15</v>
      </c>
      <c r="M425" t="str">
        <f t="shared" si="6"/>
        <v>Adult</v>
      </c>
    </row>
    <row r="426" spans="1:1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1237</v>
      </c>
      <c r="L426" t="s">
        <v>15</v>
      </c>
      <c r="M426" t="str">
        <f t="shared" si="6"/>
        <v>Teenager</v>
      </c>
    </row>
    <row r="427" spans="1:13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28</v>
      </c>
      <c r="G427">
        <v>0</v>
      </c>
      <c r="H427">
        <v>0</v>
      </c>
      <c r="I427" t="s">
        <v>617</v>
      </c>
      <c r="J427">
        <v>7.25</v>
      </c>
      <c r="K427" t="s">
        <v>1237</v>
      </c>
      <c r="L427" t="s">
        <v>15</v>
      </c>
      <c r="M427" t="str">
        <f t="shared" si="6"/>
        <v>Adult</v>
      </c>
    </row>
    <row r="428" spans="1:1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1237</v>
      </c>
      <c r="L428" t="s">
        <v>15</v>
      </c>
      <c r="M428" t="str">
        <f t="shared" si="6"/>
        <v>Adult</v>
      </c>
    </row>
    <row r="429" spans="1:1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1237</v>
      </c>
      <c r="L429" t="s">
        <v>15</v>
      </c>
      <c r="M429" t="str">
        <f t="shared" si="6"/>
        <v>Teenager</v>
      </c>
    </row>
    <row r="430" spans="1:13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28</v>
      </c>
      <c r="G430">
        <v>0</v>
      </c>
      <c r="H430">
        <v>0</v>
      </c>
      <c r="I430">
        <v>364851</v>
      </c>
      <c r="J430">
        <v>7.75</v>
      </c>
      <c r="K430" t="s">
        <v>1237</v>
      </c>
      <c r="L430" t="s">
        <v>27</v>
      </c>
      <c r="M430" t="str">
        <f t="shared" si="6"/>
        <v>Adult</v>
      </c>
    </row>
    <row r="431" spans="1:1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  <c r="M431" t="str">
        <f t="shared" si="6"/>
        <v>Adult</v>
      </c>
    </row>
    <row r="432" spans="1:1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  <c r="M432" t="str">
        <f t="shared" si="6"/>
        <v>Adult</v>
      </c>
    </row>
    <row r="433" spans="1:13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K433" t="s">
        <v>1237</v>
      </c>
      <c r="L433" t="s">
        <v>15</v>
      </c>
      <c r="M433" t="str">
        <f t="shared" si="6"/>
        <v>Adult</v>
      </c>
    </row>
    <row r="434" spans="1:1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K434" t="s">
        <v>1237</v>
      </c>
      <c r="L434" t="s">
        <v>15</v>
      </c>
      <c r="M434" t="str">
        <f t="shared" si="6"/>
        <v>Middle Age</v>
      </c>
    </row>
    <row r="435" spans="1:1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K435" t="s">
        <v>1237</v>
      </c>
      <c r="L435" t="s">
        <v>15</v>
      </c>
      <c r="M435" t="str">
        <f t="shared" si="6"/>
        <v>Teenager</v>
      </c>
    </row>
    <row r="436" spans="1:1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  <c r="M436" t="str">
        <f t="shared" si="6"/>
        <v>Middle Age</v>
      </c>
    </row>
    <row r="437" spans="1:1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  <c r="M437" t="str">
        <f t="shared" si="6"/>
        <v>Teenager</v>
      </c>
    </row>
    <row r="438" spans="1:1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K438" t="s">
        <v>1237</v>
      </c>
      <c r="L438" t="s">
        <v>15</v>
      </c>
      <c r="M438" t="str">
        <f t="shared" si="6"/>
        <v>Adult</v>
      </c>
    </row>
    <row r="439" spans="1:1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1237</v>
      </c>
      <c r="L439" t="s">
        <v>15</v>
      </c>
      <c r="M439" t="str">
        <f t="shared" si="6"/>
        <v>Adult</v>
      </c>
    </row>
    <row r="440" spans="1:1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  <c r="M440" t="str">
        <f t="shared" si="6"/>
        <v>Senior</v>
      </c>
    </row>
    <row r="441" spans="1:1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K441" t="s">
        <v>1237</v>
      </c>
      <c r="L441" t="s">
        <v>15</v>
      </c>
      <c r="M441" t="str">
        <f t="shared" si="6"/>
        <v>Adult</v>
      </c>
    </row>
    <row r="442" spans="1:1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K442" t="s">
        <v>1237</v>
      </c>
      <c r="L442" t="s">
        <v>15</v>
      </c>
      <c r="M442" t="str">
        <f t="shared" si="6"/>
        <v>Middle Age</v>
      </c>
    </row>
    <row r="443" spans="1:1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1237</v>
      </c>
      <c r="L443" t="s">
        <v>15</v>
      </c>
      <c r="M443" t="str">
        <f t="shared" si="6"/>
        <v>Adult</v>
      </c>
    </row>
    <row r="444" spans="1:1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1237</v>
      </c>
      <c r="L444" t="s">
        <v>15</v>
      </c>
      <c r="M444" t="str">
        <f t="shared" si="6"/>
        <v>Adult</v>
      </c>
    </row>
    <row r="445" spans="1:1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1237</v>
      </c>
      <c r="L445" t="s">
        <v>15</v>
      </c>
      <c r="M445" t="str">
        <f t="shared" si="6"/>
        <v>Adult</v>
      </c>
    </row>
    <row r="446" spans="1:13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K446" t="s">
        <v>1237</v>
      </c>
      <c r="L446" t="s">
        <v>15</v>
      </c>
      <c r="M446" t="str">
        <f t="shared" si="6"/>
        <v>Adult</v>
      </c>
    </row>
    <row r="447" spans="1:1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  <c r="M447" t="str">
        <f t="shared" si="6"/>
        <v>Child</v>
      </c>
    </row>
    <row r="448" spans="1:1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1237</v>
      </c>
      <c r="L448" t="s">
        <v>15</v>
      </c>
      <c r="M448" t="str">
        <f t="shared" si="6"/>
        <v>Teenager</v>
      </c>
    </row>
    <row r="449" spans="1:1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1237</v>
      </c>
      <c r="L449" t="s">
        <v>15</v>
      </c>
      <c r="M449" t="str">
        <f t="shared" si="6"/>
        <v>Adult</v>
      </c>
    </row>
    <row r="450" spans="1:1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1237</v>
      </c>
      <c r="L450" t="s">
        <v>20</v>
      </c>
      <c r="M450" t="str">
        <f t="shared" ref="M450:M513" si="7">IF(F450&lt;13,"Child",IF(F450&lt;20,"Teenager",IF(F450&lt;40,"Adult",IF(F450&lt;60,"Middle Age","Senior"))))</f>
        <v>Child</v>
      </c>
    </row>
    <row r="451" spans="1:1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  <c r="M451" t="str">
        <f t="shared" si="7"/>
        <v>Middle Age</v>
      </c>
    </row>
    <row r="452" spans="1:1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K452" t="s">
        <v>1237</v>
      </c>
      <c r="L452" t="s">
        <v>15</v>
      </c>
      <c r="M452" t="str">
        <f t="shared" si="7"/>
        <v>Adult</v>
      </c>
    </row>
    <row r="453" spans="1:13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K453" t="s">
        <v>1237</v>
      </c>
      <c r="L453" t="s">
        <v>15</v>
      </c>
      <c r="M453" t="str">
        <f t="shared" si="7"/>
        <v>Adult</v>
      </c>
    </row>
    <row r="454" spans="1:1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  <c r="M454" t="str">
        <f t="shared" si="7"/>
        <v>Adult</v>
      </c>
    </row>
    <row r="455" spans="1:1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  <c r="M455" t="str">
        <f t="shared" si="7"/>
        <v>Middle Age</v>
      </c>
    </row>
    <row r="456" spans="1:13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28</v>
      </c>
      <c r="G456">
        <v>0</v>
      </c>
      <c r="H456">
        <v>0</v>
      </c>
      <c r="I456" t="s">
        <v>657</v>
      </c>
      <c r="J456">
        <v>8.0500000000000007</v>
      </c>
      <c r="K456" t="s">
        <v>1237</v>
      </c>
      <c r="L456" t="s">
        <v>15</v>
      </c>
      <c r="M456" t="str">
        <f t="shared" si="7"/>
        <v>Adult</v>
      </c>
    </row>
    <row r="457" spans="1:1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1237</v>
      </c>
      <c r="L457" t="s">
        <v>20</v>
      </c>
      <c r="M457" t="str">
        <f t="shared" si="7"/>
        <v>Adult</v>
      </c>
    </row>
    <row r="458" spans="1:1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  <c r="M458" t="str">
        <f t="shared" si="7"/>
        <v>Senior</v>
      </c>
    </row>
    <row r="459" spans="1:13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  <c r="M459" t="str">
        <f t="shared" si="7"/>
        <v>Adult</v>
      </c>
    </row>
    <row r="460" spans="1:1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K460" t="s">
        <v>1237</v>
      </c>
      <c r="L460" t="s">
        <v>15</v>
      </c>
      <c r="M460" t="str">
        <f t="shared" si="7"/>
        <v>Middle Age</v>
      </c>
    </row>
    <row r="461" spans="1:13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28</v>
      </c>
      <c r="G461">
        <v>0</v>
      </c>
      <c r="H461">
        <v>0</v>
      </c>
      <c r="I461">
        <v>371060</v>
      </c>
      <c r="J461">
        <v>7.75</v>
      </c>
      <c r="K461" t="s">
        <v>1237</v>
      </c>
      <c r="L461" t="s">
        <v>27</v>
      </c>
      <c r="M461" t="str">
        <f t="shared" si="7"/>
        <v>Adult</v>
      </c>
    </row>
    <row r="462" spans="1:1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  <c r="M462" t="str">
        <f t="shared" si="7"/>
        <v>Middle Age</v>
      </c>
    </row>
    <row r="463" spans="1:1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1237</v>
      </c>
      <c r="L463" t="s">
        <v>15</v>
      </c>
      <c r="M463" t="str">
        <f t="shared" si="7"/>
        <v>Adult</v>
      </c>
    </row>
    <row r="464" spans="1:1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  <c r="M464" t="str">
        <f t="shared" si="7"/>
        <v>Middle Age</v>
      </c>
    </row>
    <row r="465" spans="1:1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1237</v>
      </c>
      <c r="L465" t="s">
        <v>15</v>
      </c>
      <c r="M465" t="str">
        <f t="shared" si="7"/>
        <v>Middle Age</v>
      </c>
    </row>
    <row r="466" spans="1:13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28</v>
      </c>
      <c r="G466">
        <v>0</v>
      </c>
      <c r="H466">
        <v>0</v>
      </c>
      <c r="I466" t="s">
        <v>673</v>
      </c>
      <c r="J466">
        <v>8.0500000000000007</v>
      </c>
      <c r="K466" t="s">
        <v>1237</v>
      </c>
      <c r="L466" t="s">
        <v>15</v>
      </c>
      <c r="M466" t="str">
        <f t="shared" si="7"/>
        <v>Adult</v>
      </c>
    </row>
    <row r="467" spans="1:1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K467" t="s">
        <v>1237</v>
      </c>
      <c r="L467" t="s">
        <v>15</v>
      </c>
      <c r="M467" t="str">
        <f t="shared" si="7"/>
        <v>Adult</v>
      </c>
    </row>
    <row r="468" spans="1:13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28</v>
      </c>
      <c r="G468">
        <v>0</v>
      </c>
      <c r="H468">
        <v>0</v>
      </c>
      <c r="I468">
        <v>239853</v>
      </c>
      <c r="J468">
        <v>0</v>
      </c>
      <c r="K468" t="s">
        <v>1237</v>
      </c>
      <c r="L468" t="s">
        <v>15</v>
      </c>
      <c r="M468" t="str">
        <f t="shared" si="7"/>
        <v>Adult</v>
      </c>
    </row>
    <row r="469" spans="1:1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1237</v>
      </c>
      <c r="L469" t="s">
        <v>15</v>
      </c>
      <c r="M469" t="str">
        <f t="shared" si="7"/>
        <v>Middle Age</v>
      </c>
    </row>
    <row r="470" spans="1:13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K470" t="s">
        <v>1237</v>
      </c>
      <c r="L470" t="s">
        <v>27</v>
      </c>
      <c r="M470" t="str">
        <f t="shared" si="7"/>
        <v>Adult</v>
      </c>
    </row>
    <row r="471" spans="1:1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1237</v>
      </c>
      <c r="L471" t="s">
        <v>20</v>
      </c>
      <c r="M471" t="str">
        <f t="shared" si="7"/>
        <v>Child</v>
      </c>
    </row>
    <row r="472" spans="1:13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28</v>
      </c>
      <c r="G472">
        <v>0</v>
      </c>
      <c r="H472">
        <v>0</v>
      </c>
      <c r="I472">
        <v>323592</v>
      </c>
      <c r="J472">
        <v>7.25</v>
      </c>
      <c r="K472" t="s">
        <v>1237</v>
      </c>
      <c r="L472" t="s">
        <v>15</v>
      </c>
      <c r="M472" t="str">
        <f t="shared" si="7"/>
        <v>Adult</v>
      </c>
    </row>
    <row r="473" spans="1:1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1237</v>
      </c>
      <c r="L473" t="s">
        <v>15</v>
      </c>
      <c r="M473" t="str">
        <f t="shared" si="7"/>
        <v>Adult</v>
      </c>
    </row>
    <row r="474" spans="1:1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K474" t="s">
        <v>1237</v>
      </c>
      <c r="L474" t="s">
        <v>15</v>
      </c>
      <c r="M474" t="str">
        <f t="shared" si="7"/>
        <v>Adult</v>
      </c>
    </row>
    <row r="475" spans="1:1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  <c r="M475" t="str">
        <f t="shared" si="7"/>
        <v>Adult</v>
      </c>
    </row>
    <row r="476" spans="1:1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1237</v>
      </c>
      <c r="L476" t="s">
        <v>15</v>
      </c>
      <c r="M476" t="str">
        <f t="shared" si="7"/>
        <v>Adult</v>
      </c>
    </row>
    <row r="477" spans="1:13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  <c r="M477" t="str">
        <f t="shared" si="7"/>
        <v>Adult</v>
      </c>
    </row>
    <row r="478" spans="1:1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1237</v>
      </c>
      <c r="L478" t="s">
        <v>15</v>
      </c>
      <c r="M478" t="str">
        <f t="shared" si="7"/>
        <v>Adult</v>
      </c>
    </row>
    <row r="479" spans="1:1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1237</v>
      </c>
      <c r="L479" t="s">
        <v>15</v>
      </c>
      <c r="M479" t="str">
        <f t="shared" si="7"/>
        <v>Adult</v>
      </c>
    </row>
    <row r="480" spans="1:1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1237</v>
      </c>
      <c r="L480" t="s">
        <v>15</v>
      </c>
      <c r="M480" t="str">
        <f t="shared" si="7"/>
        <v>Adult</v>
      </c>
    </row>
    <row r="481" spans="1:1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1237</v>
      </c>
      <c r="L481" t="s">
        <v>15</v>
      </c>
      <c r="M481" t="str">
        <f t="shared" si="7"/>
        <v>Child</v>
      </c>
    </row>
    <row r="482" spans="1:1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K482" t="s">
        <v>1237</v>
      </c>
      <c r="L482" t="s">
        <v>15</v>
      </c>
      <c r="M482" t="str">
        <f t="shared" si="7"/>
        <v>Child</v>
      </c>
    </row>
    <row r="483" spans="1:13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28</v>
      </c>
      <c r="G483">
        <v>0</v>
      </c>
      <c r="H483">
        <v>0</v>
      </c>
      <c r="I483">
        <v>239854</v>
      </c>
      <c r="J483">
        <v>0</v>
      </c>
      <c r="K483" t="s">
        <v>1237</v>
      </c>
      <c r="L483" t="s">
        <v>15</v>
      </c>
      <c r="M483" t="str">
        <f t="shared" si="7"/>
        <v>Adult</v>
      </c>
    </row>
    <row r="484" spans="1:1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K484" t="s">
        <v>1237</v>
      </c>
      <c r="L484" t="s">
        <v>15</v>
      </c>
      <c r="M484" t="str">
        <f t="shared" si="7"/>
        <v>Middle Age</v>
      </c>
    </row>
    <row r="485" spans="1:1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1237</v>
      </c>
      <c r="L485" t="s">
        <v>15</v>
      </c>
      <c r="M485" t="str">
        <f t="shared" si="7"/>
        <v>Senior</v>
      </c>
    </row>
    <row r="486" spans="1:1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  <c r="M486" t="str">
        <f t="shared" si="7"/>
        <v>Adult</v>
      </c>
    </row>
    <row r="487" spans="1:13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K487" t="s">
        <v>1237</v>
      </c>
      <c r="L487" t="s">
        <v>15</v>
      </c>
      <c r="M487" t="str">
        <f t="shared" si="7"/>
        <v>Adult</v>
      </c>
    </row>
    <row r="488" spans="1:1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  <c r="M488" t="str">
        <f t="shared" si="7"/>
        <v>Adult</v>
      </c>
    </row>
    <row r="489" spans="1:1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  <c r="M489" t="str">
        <f t="shared" si="7"/>
        <v>Middle Age</v>
      </c>
    </row>
    <row r="490" spans="1:1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K490" t="s">
        <v>1237</v>
      </c>
      <c r="L490" t="s">
        <v>15</v>
      </c>
      <c r="M490" t="str">
        <f t="shared" si="7"/>
        <v>Adult</v>
      </c>
    </row>
    <row r="491" spans="1:1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K491" t="s">
        <v>1237</v>
      </c>
      <c r="L491" t="s">
        <v>15</v>
      </c>
      <c r="M491" t="str">
        <f t="shared" si="7"/>
        <v>Child</v>
      </c>
    </row>
    <row r="492" spans="1:13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K492" t="s">
        <v>1237</v>
      </c>
      <c r="L492" t="s">
        <v>15</v>
      </c>
      <c r="M492" t="str">
        <f t="shared" si="7"/>
        <v>Adult</v>
      </c>
    </row>
    <row r="493" spans="1:1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K493" t="s">
        <v>1237</v>
      </c>
      <c r="L493" t="s">
        <v>15</v>
      </c>
      <c r="M493" t="str">
        <f t="shared" si="7"/>
        <v>Adult</v>
      </c>
    </row>
    <row r="494" spans="1:1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  <c r="M494" t="str">
        <f t="shared" si="7"/>
        <v>Middle Age</v>
      </c>
    </row>
    <row r="495" spans="1:1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K495" t="s">
        <v>1237</v>
      </c>
      <c r="L495" t="s">
        <v>20</v>
      </c>
      <c r="M495" t="str">
        <f t="shared" si="7"/>
        <v>Senior</v>
      </c>
    </row>
    <row r="496" spans="1:1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K496" t="s">
        <v>1237</v>
      </c>
      <c r="L496" t="s">
        <v>15</v>
      </c>
      <c r="M496" t="str">
        <f t="shared" si="7"/>
        <v>Adult</v>
      </c>
    </row>
    <row r="497" spans="1:13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K497" t="s">
        <v>1237</v>
      </c>
      <c r="L497" t="s">
        <v>20</v>
      </c>
      <c r="M497" t="str">
        <f t="shared" si="7"/>
        <v>Adult</v>
      </c>
    </row>
    <row r="498" spans="1:1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  <c r="M498" t="str">
        <f t="shared" si="7"/>
        <v>Middle Age</v>
      </c>
    </row>
    <row r="499" spans="1:13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28</v>
      </c>
      <c r="G499">
        <v>0</v>
      </c>
      <c r="H499">
        <v>0</v>
      </c>
      <c r="I499" t="s">
        <v>718</v>
      </c>
      <c r="J499">
        <v>15.1</v>
      </c>
      <c r="K499" t="s">
        <v>1237</v>
      </c>
      <c r="L499" t="s">
        <v>15</v>
      </c>
      <c r="M499" t="str">
        <f t="shared" si="7"/>
        <v>Adult</v>
      </c>
    </row>
    <row r="500" spans="1:1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  <c r="M500" t="str">
        <f t="shared" si="7"/>
        <v>Adult</v>
      </c>
    </row>
    <row r="501" spans="1:1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1237</v>
      </c>
      <c r="L501" t="s">
        <v>15</v>
      </c>
      <c r="M501" t="str">
        <f t="shared" si="7"/>
        <v>Adult</v>
      </c>
    </row>
    <row r="502" spans="1:1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1237</v>
      </c>
      <c r="L502" t="s">
        <v>15</v>
      </c>
      <c r="M502" t="str">
        <f t="shared" si="7"/>
        <v>Teenager</v>
      </c>
    </row>
    <row r="503" spans="1:1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1237</v>
      </c>
      <c r="L503" t="s">
        <v>27</v>
      </c>
      <c r="M503" t="str">
        <f t="shared" si="7"/>
        <v>Adult</v>
      </c>
    </row>
    <row r="504" spans="1:13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28</v>
      </c>
      <c r="G504">
        <v>0</v>
      </c>
      <c r="H504">
        <v>0</v>
      </c>
      <c r="I504">
        <v>330909</v>
      </c>
      <c r="J504">
        <v>7.6292</v>
      </c>
      <c r="K504" t="s">
        <v>1237</v>
      </c>
      <c r="L504" t="s">
        <v>27</v>
      </c>
      <c r="M504" t="str">
        <f t="shared" si="7"/>
        <v>Adult</v>
      </c>
    </row>
    <row r="505" spans="1:1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1237</v>
      </c>
      <c r="L505" t="s">
        <v>15</v>
      </c>
      <c r="M505" t="str">
        <f t="shared" si="7"/>
        <v>Adult</v>
      </c>
    </row>
    <row r="506" spans="1:1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  <c r="M506" t="str">
        <f t="shared" si="7"/>
        <v>Teenager</v>
      </c>
    </row>
    <row r="507" spans="1:1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  <c r="M507" t="str">
        <f t="shared" si="7"/>
        <v>Teenager</v>
      </c>
    </row>
    <row r="508" spans="1:1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1237</v>
      </c>
      <c r="L508" t="s">
        <v>15</v>
      </c>
      <c r="M508" t="str">
        <f t="shared" si="7"/>
        <v>Adult</v>
      </c>
    </row>
    <row r="509" spans="1:13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28</v>
      </c>
      <c r="G509">
        <v>0</v>
      </c>
      <c r="H509">
        <v>0</v>
      </c>
      <c r="I509">
        <v>111427</v>
      </c>
      <c r="J509">
        <v>26.55</v>
      </c>
      <c r="K509" t="s">
        <v>1237</v>
      </c>
      <c r="L509" t="s">
        <v>15</v>
      </c>
      <c r="M509" t="str">
        <f t="shared" si="7"/>
        <v>Adult</v>
      </c>
    </row>
    <row r="510" spans="1:1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K510" t="s">
        <v>1237</v>
      </c>
      <c r="L510" t="s">
        <v>15</v>
      </c>
      <c r="M510" t="str">
        <f t="shared" si="7"/>
        <v>Adult</v>
      </c>
    </row>
    <row r="511" spans="1:1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1237</v>
      </c>
      <c r="L511" t="s">
        <v>15</v>
      </c>
      <c r="M511" t="str">
        <f t="shared" si="7"/>
        <v>Adult</v>
      </c>
    </row>
    <row r="512" spans="1:1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1237</v>
      </c>
      <c r="L512" t="s">
        <v>27</v>
      </c>
      <c r="M512" t="str">
        <f t="shared" si="7"/>
        <v>Adult</v>
      </c>
    </row>
    <row r="513" spans="1:13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28</v>
      </c>
      <c r="G513">
        <v>0</v>
      </c>
      <c r="H513">
        <v>0</v>
      </c>
      <c r="I513" t="s">
        <v>735</v>
      </c>
      <c r="J513">
        <v>8.0500000000000007</v>
      </c>
      <c r="K513" t="s">
        <v>1237</v>
      </c>
      <c r="L513" t="s">
        <v>15</v>
      </c>
      <c r="M513" t="str">
        <f t="shared" si="7"/>
        <v>Adult</v>
      </c>
    </row>
    <row r="514" spans="1:1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  <c r="M514" t="str">
        <f t="shared" ref="M514:M577" si="8">IF(F514&lt;13,"Child",IF(F514&lt;20,"Teenager",IF(F514&lt;40,"Adult",IF(F514&lt;60,"Middle Age","Senior"))))</f>
        <v>Adult</v>
      </c>
    </row>
    <row r="515" spans="1:1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K515" t="s">
        <v>1237</v>
      </c>
      <c r="L515" t="s">
        <v>20</v>
      </c>
      <c r="M515" t="str">
        <f t="shared" si="8"/>
        <v>Middle Age</v>
      </c>
    </row>
    <row r="516" spans="1:1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1237</v>
      </c>
      <c r="L516" t="s">
        <v>15</v>
      </c>
      <c r="M516" t="str">
        <f t="shared" si="8"/>
        <v>Adult</v>
      </c>
    </row>
    <row r="517" spans="1:1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  <c r="M517" t="str">
        <f t="shared" si="8"/>
        <v>Middle Age</v>
      </c>
    </row>
    <row r="518" spans="1:1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  <c r="M518" t="str">
        <f t="shared" si="8"/>
        <v>Adult</v>
      </c>
    </row>
    <row r="519" spans="1:13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28</v>
      </c>
      <c r="G519">
        <v>0</v>
      </c>
      <c r="H519">
        <v>0</v>
      </c>
      <c r="I519">
        <v>371110</v>
      </c>
      <c r="J519">
        <v>24.15</v>
      </c>
      <c r="K519" t="s">
        <v>1237</v>
      </c>
      <c r="L519" t="s">
        <v>27</v>
      </c>
      <c r="M519" t="str">
        <f t="shared" si="8"/>
        <v>Adult</v>
      </c>
    </row>
    <row r="520" spans="1:1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1237</v>
      </c>
      <c r="L520" t="s">
        <v>15</v>
      </c>
      <c r="M520" t="str">
        <f t="shared" si="8"/>
        <v>Adult</v>
      </c>
    </row>
    <row r="521" spans="1:1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1237</v>
      </c>
      <c r="L521" t="s">
        <v>15</v>
      </c>
      <c r="M521" t="str">
        <f t="shared" si="8"/>
        <v>Adult</v>
      </c>
    </row>
    <row r="522" spans="1:1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  <c r="M522" t="str">
        <f t="shared" si="8"/>
        <v>Adult</v>
      </c>
    </row>
    <row r="523" spans="1:1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1237</v>
      </c>
      <c r="L523" t="s">
        <v>15</v>
      </c>
      <c r="M523" t="str">
        <f t="shared" si="8"/>
        <v>Adult</v>
      </c>
    </row>
    <row r="524" spans="1:13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K524" t="s">
        <v>1237</v>
      </c>
      <c r="L524" t="s">
        <v>20</v>
      </c>
      <c r="M524" t="str">
        <f t="shared" si="8"/>
        <v>Adult</v>
      </c>
    </row>
    <row r="525" spans="1:1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  <c r="M525" t="str">
        <f t="shared" si="8"/>
        <v>Middle Age</v>
      </c>
    </row>
    <row r="526" spans="1:13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K526" t="s">
        <v>1237</v>
      </c>
      <c r="L526" t="s">
        <v>20</v>
      </c>
      <c r="M526" t="str">
        <f t="shared" si="8"/>
        <v>Adult</v>
      </c>
    </row>
    <row r="527" spans="1:1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1237</v>
      </c>
      <c r="L527" t="s">
        <v>27</v>
      </c>
      <c r="M527" t="str">
        <f t="shared" si="8"/>
        <v>Middle Age</v>
      </c>
    </row>
    <row r="528" spans="1:1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K528" t="s">
        <v>1237</v>
      </c>
      <c r="L528" t="s">
        <v>15</v>
      </c>
      <c r="M528" t="str">
        <f t="shared" si="8"/>
        <v>Middle Age</v>
      </c>
    </row>
    <row r="529" spans="1:13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28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  <c r="M529" t="str">
        <f t="shared" si="8"/>
        <v>Adult</v>
      </c>
    </row>
    <row r="530" spans="1:1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1237</v>
      </c>
      <c r="L530" t="s">
        <v>15</v>
      </c>
      <c r="M530" t="str">
        <f t="shared" si="8"/>
        <v>Adult</v>
      </c>
    </row>
    <row r="531" spans="1:1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1237</v>
      </c>
      <c r="L531" t="s">
        <v>15</v>
      </c>
      <c r="M531" t="str">
        <f t="shared" si="8"/>
        <v>Adult</v>
      </c>
    </row>
    <row r="532" spans="1:1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1237</v>
      </c>
      <c r="L532" t="s">
        <v>15</v>
      </c>
      <c r="M532" t="str">
        <f t="shared" si="8"/>
        <v>Child</v>
      </c>
    </row>
    <row r="533" spans="1:13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K533" t="s">
        <v>1237</v>
      </c>
      <c r="L533" t="s">
        <v>20</v>
      </c>
      <c r="M533" t="str">
        <f t="shared" si="8"/>
        <v>Adult</v>
      </c>
    </row>
    <row r="534" spans="1:1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1237</v>
      </c>
      <c r="L534" t="s">
        <v>20</v>
      </c>
      <c r="M534" t="str">
        <f t="shared" si="8"/>
        <v>Teenager</v>
      </c>
    </row>
    <row r="535" spans="1:13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28</v>
      </c>
      <c r="G535">
        <v>0</v>
      </c>
      <c r="H535">
        <v>2</v>
      </c>
      <c r="I535">
        <v>2668</v>
      </c>
      <c r="J535">
        <v>22.3583</v>
      </c>
      <c r="K535" t="s">
        <v>1237</v>
      </c>
      <c r="L535" t="s">
        <v>20</v>
      </c>
      <c r="M535" t="str">
        <f t="shared" si="8"/>
        <v>Adult</v>
      </c>
    </row>
    <row r="536" spans="1:1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1237</v>
      </c>
      <c r="L536" t="s">
        <v>15</v>
      </c>
      <c r="M536" t="str">
        <f t="shared" si="8"/>
        <v>Adult</v>
      </c>
    </row>
    <row r="537" spans="1:1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K537" t="s">
        <v>1237</v>
      </c>
      <c r="L537" t="s">
        <v>15</v>
      </c>
      <c r="M537" t="str">
        <f t="shared" si="8"/>
        <v>Child</v>
      </c>
    </row>
    <row r="538" spans="1:1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  <c r="M538" t="str">
        <f t="shared" si="8"/>
        <v>Middle Age</v>
      </c>
    </row>
    <row r="539" spans="1:1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K539" t="s">
        <v>1237</v>
      </c>
      <c r="L539" t="s">
        <v>20</v>
      </c>
      <c r="M539" t="str">
        <f t="shared" si="8"/>
        <v>Adult</v>
      </c>
    </row>
    <row r="540" spans="1:13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28</v>
      </c>
      <c r="G540">
        <v>0</v>
      </c>
      <c r="H540">
        <v>0</v>
      </c>
      <c r="I540">
        <v>364498</v>
      </c>
      <c r="J540">
        <v>14.5</v>
      </c>
      <c r="K540" t="s">
        <v>1237</v>
      </c>
      <c r="L540" t="s">
        <v>15</v>
      </c>
      <c r="M540" t="str">
        <f t="shared" si="8"/>
        <v>Adult</v>
      </c>
    </row>
    <row r="541" spans="1:1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  <c r="M541" t="str">
        <f t="shared" si="8"/>
        <v>Adult</v>
      </c>
    </row>
    <row r="542" spans="1:1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  <c r="M542" t="str">
        <f t="shared" si="8"/>
        <v>Adult</v>
      </c>
    </row>
    <row r="543" spans="1:1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1237</v>
      </c>
      <c r="L543" t="s">
        <v>15</v>
      </c>
      <c r="M543" t="str">
        <f t="shared" si="8"/>
        <v>Child</v>
      </c>
    </row>
    <row r="544" spans="1:1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1237</v>
      </c>
      <c r="L544" t="s">
        <v>15</v>
      </c>
      <c r="M544" t="str">
        <f t="shared" si="8"/>
        <v>Child</v>
      </c>
    </row>
    <row r="545" spans="1:1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1237</v>
      </c>
      <c r="L545" t="s">
        <v>15</v>
      </c>
      <c r="M545" t="str">
        <f t="shared" si="8"/>
        <v>Adult</v>
      </c>
    </row>
    <row r="546" spans="1:1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  <c r="M546" t="str">
        <f t="shared" si="8"/>
        <v>Middle Age</v>
      </c>
    </row>
    <row r="547" spans="1:1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1237</v>
      </c>
      <c r="L547" t="s">
        <v>15</v>
      </c>
      <c r="M547" t="str">
        <f t="shared" si="8"/>
        <v>Senior</v>
      </c>
    </row>
    <row r="548" spans="1:1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1237</v>
      </c>
      <c r="L548" t="s">
        <v>15</v>
      </c>
      <c r="M548" t="str">
        <f t="shared" si="8"/>
        <v>Teenager</v>
      </c>
    </row>
    <row r="549" spans="1:13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28</v>
      </c>
      <c r="G549">
        <v>0</v>
      </c>
      <c r="H549">
        <v>0</v>
      </c>
      <c r="I549" t="s">
        <v>787</v>
      </c>
      <c r="J549">
        <v>13.862500000000001</v>
      </c>
      <c r="K549" t="s">
        <v>1237</v>
      </c>
      <c r="L549" t="s">
        <v>20</v>
      </c>
      <c r="M549" t="str">
        <f t="shared" si="8"/>
        <v>Adult</v>
      </c>
    </row>
    <row r="550" spans="1:1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1237</v>
      </c>
      <c r="L550" t="s">
        <v>15</v>
      </c>
      <c r="M550" t="str">
        <f t="shared" si="8"/>
        <v>Adult</v>
      </c>
    </row>
    <row r="551" spans="1:1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K551" t="s">
        <v>1237</v>
      </c>
      <c r="L551" t="s">
        <v>15</v>
      </c>
      <c r="M551" t="str">
        <f t="shared" si="8"/>
        <v>Child</v>
      </c>
    </row>
    <row r="552" spans="1:1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  <c r="M552" t="str">
        <f t="shared" si="8"/>
        <v>Teenager</v>
      </c>
    </row>
    <row r="553" spans="1:1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1237</v>
      </c>
      <c r="L553" t="s">
        <v>15</v>
      </c>
      <c r="M553" t="str">
        <f t="shared" si="8"/>
        <v>Adult</v>
      </c>
    </row>
    <row r="554" spans="1:13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K554" t="s">
        <v>1237</v>
      </c>
      <c r="L554" t="s">
        <v>27</v>
      </c>
      <c r="M554" t="str">
        <f t="shared" si="8"/>
        <v>Adult</v>
      </c>
    </row>
    <row r="555" spans="1:1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1237</v>
      </c>
      <c r="L555" t="s">
        <v>20</v>
      </c>
      <c r="M555" t="str">
        <f t="shared" si="8"/>
        <v>Adult</v>
      </c>
    </row>
    <row r="556" spans="1:1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1237</v>
      </c>
      <c r="L556" t="s">
        <v>15</v>
      </c>
      <c r="M556" t="str">
        <f t="shared" si="8"/>
        <v>Adult</v>
      </c>
    </row>
    <row r="557" spans="1:1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1237</v>
      </c>
      <c r="L557" t="s">
        <v>15</v>
      </c>
      <c r="M557" t="str">
        <f t="shared" si="8"/>
        <v>Senior</v>
      </c>
    </row>
    <row r="558" spans="1:1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  <c r="M558" t="str">
        <f t="shared" si="8"/>
        <v>Middle Age</v>
      </c>
    </row>
    <row r="559" spans="1:13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28</v>
      </c>
      <c r="G559">
        <v>0</v>
      </c>
      <c r="H559">
        <v>0</v>
      </c>
      <c r="I559" t="s">
        <v>565</v>
      </c>
      <c r="J559">
        <v>227.52500000000001</v>
      </c>
      <c r="K559" t="s">
        <v>1237</v>
      </c>
      <c r="L559" t="s">
        <v>20</v>
      </c>
      <c r="M559" t="str">
        <f t="shared" si="8"/>
        <v>Adult</v>
      </c>
    </row>
    <row r="560" spans="1:1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  <c r="M560" t="str">
        <f t="shared" si="8"/>
        <v>Adult</v>
      </c>
    </row>
    <row r="561" spans="1:1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1237</v>
      </c>
      <c r="L561" t="s">
        <v>15</v>
      </c>
      <c r="M561" t="str">
        <f t="shared" si="8"/>
        <v>Adult</v>
      </c>
    </row>
    <row r="562" spans="1:13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28</v>
      </c>
      <c r="G562">
        <v>0</v>
      </c>
      <c r="H562">
        <v>0</v>
      </c>
      <c r="I562">
        <v>372622</v>
      </c>
      <c r="J562">
        <v>7.75</v>
      </c>
      <c r="K562" t="s">
        <v>1237</v>
      </c>
      <c r="L562" t="s">
        <v>27</v>
      </c>
      <c r="M562" t="str">
        <f t="shared" si="8"/>
        <v>Adult</v>
      </c>
    </row>
    <row r="563" spans="1:1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1237</v>
      </c>
      <c r="L563" t="s">
        <v>15</v>
      </c>
      <c r="M563" t="str">
        <f t="shared" si="8"/>
        <v>Middle Age</v>
      </c>
    </row>
    <row r="564" spans="1:1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1237</v>
      </c>
      <c r="L564" t="s">
        <v>15</v>
      </c>
      <c r="M564" t="str">
        <f t="shared" si="8"/>
        <v>Adult</v>
      </c>
    </row>
    <row r="565" spans="1:13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28</v>
      </c>
      <c r="G565">
        <v>0</v>
      </c>
      <c r="H565">
        <v>0</v>
      </c>
      <c r="I565" t="s">
        <v>806</v>
      </c>
      <c r="J565">
        <v>8.0500000000000007</v>
      </c>
      <c r="K565" t="s">
        <v>1237</v>
      </c>
      <c r="L565" t="s">
        <v>15</v>
      </c>
      <c r="M565" t="str">
        <f t="shared" si="8"/>
        <v>Adult</v>
      </c>
    </row>
    <row r="566" spans="1:13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28</v>
      </c>
      <c r="G566">
        <v>0</v>
      </c>
      <c r="H566">
        <v>0</v>
      </c>
      <c r="I566" t="s">
        <v>808</v>
      </c>
      <c r="J566">
        <v>8.0500000000000007</v>
      </c>
      <c r="K566" t="s">
        <v>1237</v>
      </c>
      <c r="L566" t="s">
        <v>15</v>
      </c>
      <c r="M566" t="str">
        <f t="shared" si="8"/>
        <v>Adult</v>
      </c>
    </row>
    <row r="567" spans="1:1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K567" t="s">
        <v>1237</v>
      </c>
      <c r="L567" t="s">
        <v>15</v>
      </c>
      <c r="M567" t="str">
        <f t="shared" si="8"/>
        <v>Adult</v>
      </c>
    </row>
    <row r="568" spans="1:1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1237</v>
      </c>
      <c r="L568" t="s">
        <v>15</v>
      </c>
      <c r="M568" t="str">
        <f t="shared" si="8"/>
        <v>Teenager</v>
      </c>
    </row>
    <row r="569" spans="1:1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1237</v>
      </c>
      <c r="L569" t="s">
        <v>15</v>
      </c>
      <c r="M569" t="str">
        <f t="shared" si="8"/>
        <v>Adult</v>
      </c>
    </row>
    <row r="570" spans="1:13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K570" t="s">
        <v>1237</v>
      </c>
      <c r="L570" t="s">
        <v>20</v>
      </c>
      <c r="M570" t="str">
        <f t="shared" si="8"/>
        <v>Adult</v>
      </c>
    </row>
    <row r="571" spans="1:1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1237</v>
      </c>
      <c r="L571" t="s">
        <v>15</v>
      </c>
      <c r="M571" t="str">
        <f t="shared" si="8"/>
        <v>Adult</v>
      </c>
    </row>
    <row r="572" spans="1:1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K572" t="s">
        <v>1237</v>
      </c>
      <c r="L572" t="s">
        <v>15</v>
      </c>
      <c r="M572" t="str">
        <f t="shared" si="8"/>
        <v>Senior</v>
      </c>
    </row>
    <row r="573" spans="1:1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  <c r="M573" t="str">
        <f t="shared" si="8"/>
        <v>Middle Age</v>
      </c>
    </row>
    <row r="574" spans="1:1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  <c r="M574" t="str">
        <f t="shared" si="8"/>
        <v>Adult</v>
      </c>
    </row>
    <row r="575" spans="1:13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28</v>
      </c>
      <c r="G575">
        <v>0</v>
      </c>
      <c r="H575">
        <v>0</v>
      </c>
      <c r="I575">
        <v>14312</v>
      </c>
      <c r="J575">
        <v>7.75</v>
      </c>
      <c r="K575" t="s">
        <v>1237</v>
      </c>
      <c r="L575" t="s">
        <v>27</v>
      </c>
      <c r="M575" t="str">
        <f t="shared" si="8"/>
        <v>Adult</v>
      </c>
    </row>
    <row r="576" spans="1:1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K576" t="s">
        <v>1237</v>
      </c>
      <c r="L576" t="s">
        <v>15</v>
      </c>
      <c r="M576" t="str">
        <f t="shared" si="8"/>
        <v>Teenager</v>
      </c>
    </row>
    <row r="577" spans="1:1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1237</v>
      </c>
      <c r="L577" t="s">
        <v>15</v>
      </c>
      <c r="M577" t="str">
        <f t="shared" si="8"/>
        <v>Teenager</v>
      </c>
    </row>
    <row r="578" spans="1:1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1237</v>
      </c>
      <c r="L578" t="s">
        <v>15</v>
      </c>
      <c r="M578" t="str">
        <f t="shared" ref="M578:M641" si="9">IF(F578&lt;13,"Child",IF(F578&lt;20,"Teenager",IF(F578&lt;40,"Adult",IF(F578&lt;60,"Middle Age","Senior"))))</f>
        <v>Adult</v>
      </c>
    </row>
    <row r="579" spans="1:1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  <c r="M579" t="str">
        <f t="shared" si="9"/>
        <v>Adult</v>
      </c>
    </row>
    <row r="580" spans="1:13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K580" t="s">
        <v>1237</v>
      </c>
      <c r="L580" t="s">
        <v>20</v>
      </c>
      <c r="M580" t="str">
        <f t="shared" si="9"/>
        <v>Adult</v>
      </c>
    </row>
    <row r="581" spans="1:1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K581" t="s">
        <v>1237</v>
      </c>
      <c r="L581" t="s">
        <v>15</v>
      </c>
      <c r="M581" t="str">
        <f t="shared" si="9"/>
        <v>Adult</v>
      </c>
    </row>
    <row r="582" spans="1:1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1237</v>
      </c>
      <c r="L582" t="s">
        <v>15</v>
      </c>
      <c r="M582" t="str">
        <f t="shared" si="9"/>
        <v>Adult</v>
      </c>
    </row>
    <row r="583" spans="1:1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  <c r="M583" t="str">
        <f t="shared" si="9"/>
        <v>Adult</v>
      </c>
    </row>
    <row r="584" spans="1:1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1237</v>
      </c>
      <c r="L584" t="s">
        <v>15</v>
      </c>
      <c r="M584" t="str">
        <f t="shared" si="9"/>
        <v>Middle Age</v>
      </c>
    </row>
    <row r="585" spans="1:1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  <c r="M585" t="str">
        <f t="shared" si="9"/>
        <v>Adult</v>
      </c>
    </row>
    <row r="586" spans="1:13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K586" t="s">
        <v>1237</v>
      </c>
      <c r="L586" t="s">
        <v>20</v>
      </c>
      <c r="M586" t="str">
        <f t="shared" si="9"/>
        <v>Adult</v>
      </c>
    </row>
    <row r="587" spans="1:1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  <c r="M587" t="str">
        <f t="shared" si="9"/>
        <v>Teenager</v>
      </c>
    </row>
    <row r="588" spans="1:1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1237</v>
      </c>
      <c r="L588" t="s">
        <v>15</v>
      </c>
      <c r="M588" t="str">
        <f t="shared" si="9"/>
        <v>Middle Age</v>
      </c>
    </row>
    <row r="589" spans="1:1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  <c r="M589" t="str">
        <f t="shared" si="9"/>
        <v>Senior</v>
      </c>
    </row>
    <row r="590" spans="1:1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1237</v>
      </c>
      <c r="L590" t="s">
        <v>15</v>
      </c>
      <c r="M590" t="str">
        <f t="shared" si="9"/>
        <v>Adult</v>
      </c>
    </row>
    <row r="591" spans="1:13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28</v>
      </c>
      <c r="G591">
        <v>0</v>
      </c>
      <c r="H591">
        <v>0</v>
      </c>
      <c r="I591" t="s">
        <v>844</v>
      </c>
      <c r="J591">
        <v>8.0500000000000007</v>
      </c>
      <c r="K591" t="s">
        <v>1237</v>
      </c>
      <c r="L591" t="s">
        <v>15</v>
      </c>
      <c r="M591" t="str">
        <f t="shared" si="9"/>
        <v>Adult</v>
      </c>
    </row>
    <row r="592" spans="1:1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K592" t="s">
        <v>1237</v>
      </c>
      <c r="L592" t="s">
        <v>15</v>
      </c>
      <c r="M592" t="str">
        <f t="shared" si="9"/>
        <v>Adult</v>
      </c>
    </row>
    <row r="593" spans="1:1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  <c r="M593" t="str">
        <f t="shared" si="9"/>
        <v>Middle Age</v>
      </c>
    </row>
    <row r="594" spans="1:1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K594" t="s">
        <v>1237</v>
      </c>
      <c r="L594" t="s">
        <v>15</v>
      </c>
      <c r="M594" t="str">
        <f t="shared" si="9"/>
        <v>Middle Age</v>
      </c>
    </row>
    <row r="595" spans="1:13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28</v>
      </c>
      <c r="G595">
        <v>0</v>
      </c>
      <c r="H595">
        <v>2</v>
      </c>
      <c r="I595">
        <v>364848</v>
      </c>
      <c r="J595">
        <v>7.75</v>
      </c>
      <c r="K595" t="s">
        <v>1237</v>
      </c>
      <c r="L595" t="s">
        <v>27</v>
      </c>
      <c r="M595" t="str">
        <f t="shared" si="9"/>
        <v>Adult</v>
      </c>
    </row>
    <row r="596" spans="1:1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K596" t="s">
        <v>1237</v>
      </c>
      <c r="L596" t="s">
        <v>15</v>
      </c>
      <c r="M596" t="str">
        <f t="shared" si="9"/>
        <v>Adult</v>
      </c>
    </row>
    <row r="597" spans="1:1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1237</v>
      </c>
      <c r="L597" t="s">
        <v>15</v>
      </c>
      <c r="M597" t="str">
        <f t="shared" si="9"/>
        <v>Adult</v>
      </c>
    </row>
    <row r="598" spans="1:13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28</v>
      </c>
      <c r="G598">
        <v>0</v>
      </c>
      <c r="H598">
        <v>0</v>
      </c>
      <c r="I598">
        <v>248727</v>
      </c>
      <c r="J598">
        <v>33</v>
      </c>
      <c r="K598" t="s">
        <v>1237</v>
      </c>
      <c r="L598" t="s">
        <v>15</v>
      </c>
      <c r="M598" t="str">
        <f t="shared" si="9"/>
        <v>Adult</v>
      </c>
    </row>
    <row r="599" spans="1:1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K599" t="s">
        <v>1237</v>
      </c>
      <c r="L599" t="s">
        <v>15</v>
      </c>
      <c r="M599" t="str">
        <f t="shared" si="9"/>
        <v>Middle Age</v>
      </c>
    </row>
    <row r="600" spans="1:13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K600" t="s">
        <v>1237</v>
      </c>
      <c r="L600" t="s">
        <v>20</v>
      </c>
      <c r="M600" t="str">
        <f t="shared" si="9"/>
        <v>Adult</v>
      </c>
    </row>
    <row r="601" spans="1:1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  <c r="M601" t="str">
        <f t="shared" si="9"/>
        <v>Middle Age</v>
      </c>
    </row>
    <row r="602" spans="1:1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1237</v>
      </c>
      <c r="L602" t="s">
        <v>15</v>
      </c>
      <c r="M602" t="str">
        <f t="shared" si="9"/>
        <v>Adult</v>
      </c>
    </row>
    <row r="603" spans="1:13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K603" t="s">
        <v>1237</v>
      </c>
      <c r="L603" t="s">
        <v>15</v>
      </c>
      <c r="M603" t="str">
        <f t="shared" si="9"/>
        <v>Adult</v>
      </c>
    </row>
    <row r="604" spans="1:13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28</v>
      </c>
      <c r="G604">
        <v>0</v>
      </c>
      <c r="H604">
        <v>0</v>
      </c>
      <c r="I604">
        <v>113796</v>
      </c>
      <c r="J604">
        <v>42.4</v>
      </c>
      <c r="K604" t="s">
        <v>1237</v>
      </c>
      <c r="L604" t="s">
        <v>15</v>
      </c>
      <c r="M604" t="str">
        <f t="shared" si="9"/>
        <v>Adult</v>
      </c>
    </row>
    <row r="605" spans="1:1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1237</v>
      </c>
      <c r="L605" t="s">
        <v>15</v>
      </c>
      <c r="M605" t="str">
        <f t="shared" si="9"/>
        <v>Middle Age</v>
      </c>
    </row>
    <row r="606" spans="1:1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1237</v>
      </c>
      <c r="L606" t="s">
        <v>20</v>
      </c>
      <c r="M606" t="str">
        <f t="shared" si="9"/>
        <v>Adult</v>
      </c>
    </row>
    <row r="607" spans="1:1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1237</v>
      </c>
      <c r="L607" t="s">
        <v>15</v>
      </c>
      <c r="M607" t="str">
        <f t="shared" si="9"/>
        <v>Adult</v>
      </c>
    </row>
    <row r="608" spans="1:1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1237</v>
      </c>
      <c r="L608" t="s">
        <v>15</v>
      </c>
      <c r="M608" t="str">
        <f t="shared" si="9"/>
        <v>Adult</v>
      </c>
    </row>
    <row r="609" spans="1:1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1237</v>
      </c>
      <c r="L609" t="s">
        <v>15</v>
      </c>
      <c r="M609" t="str">
        <f t="shared" si="9"/>
        <v>Adult</v>
      </c>
    </row>
    <row r="610" spans="1:1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K610" t="s">
        <v>1237</v>
      </c>
      <c r="L610" t="s">
        <v>20</v>
      </c>
      <c r="M610" t="str">
        <f t="shared" si="9"/>
        <v>Adult</v>
      </c>
    </row>
    <row r="611" spans="1:1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  <c r="M611" t="str">
        <f t="shared" si="9"/>
        <v>Middle Age</v>
      </c>
    </row>
    <row r="612" spans="1:1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1237</v>
      </c>
      <c r="L612" t="s">
        <v>15</v>
      </c>
      <c r="M612" t="str">
        <f t="shared" si="9"/>
        <v>Adult</v>
      </c>
    </row>
    <row r="613" spans="1:13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28</v>
      </c>
      <c r="G613">
        <v>0</v>
      </c>
      <c r="H613">
        <v>0</v>
      </c>
      <c r="I613" t="s">
        <v>871</v>
      </c>
      <c r="J613">
        <v>7.05</v>
      </c>
      <c r="K613" t="s">
        <v>1237</v>
      </c>
      <c r="L613" t="s">
        <v>15</v>
      </c>
      <c r="M613" t="str">
        <f t="shared" si="9"/>
        <v>Adult</v>
      </c>
    </row>
    <row r="614" spans="1:13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28</v>
      </c>
      <c r="G614">
        <v>1</v>
      </c>
      <c r="H614">
        <v>0</v>
      </c>
      <c r="I614">
        <v>367230</v>
      </c>
      <c r="J614">
        <v>15.5</v>
      </c>
      <c r="K614" t="s">
        <v>1237</v>
      </c>
      <c r="L614" t="s">
        <v>27</v>
      </c>
      <c r="M614" t="str">
        <f t="shared" si="9"/>
        <v>Adult</v>
      </c>
    </row>
    <row r="615" spans="1:13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28</v>
      </c>
      <c r="G615">
        <v>0</v>
      </c>
      <c r="H615">
        <v>0</v>
      </c>
      <c r="I615">
        <v>370377</v>
      </c>
      <c r="J615">
        <v>7.75</v>
      </c>
      <c r="K615" t="s">
        <v>1237</v>
      </c>
      <c r="L615" t="s">
        <v>27</v>
      </c>
      <c r="M615" t="str">
        <f t="shared" si="9"/>
        <v>Adult</v>
      </c>
    </row>
    <row r="616" spans="1:1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K616" t="s">
        <v>1237</v>
      </c>
      <c r="L616" t="s">
        <v>15</v>
      </c>
      <c r="M616" t="str">
        <f t="shared" si="9"/>
        <v>Adult</v>
      </c>
    </row>
    <row r="617" spans="1:1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1237</v>
      </c>
      <c r="L617" t="s">
        <v>15</v>
      </c>
      <c r="M617" t="str">
        <f t="shared" si="9"/>
        <v>Adult</v>
      </c>
    </row>
    <row r="618" spans="1:1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1237</v>
      </c>
      <c r="L618" t="s">
        <v>15</v>
      </c>
      <c r="M618" t="str">
        <f t="shared" si="9"/>
        <v>Adult</v>
      </c>
    </row>
    <row r="619" spans="1:1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K619" t="s">
        <v>1237</v>
      </c>
      <c r="L619" t="s">
        <v>15</v>
      </c>
      <c r="M619" t="str">
        <f t="shared" si="9"/>
        <v>Adult</v>
      </c>
    </row>
    <row r="620" spans="1:1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  <c r="M620" t="str">
        <f t="shared" si="9"/>
        <v>Child</v>
      </c>
    </row>
    <row r="621" spans="1:1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1237</v>
      </c>
      <c r="L621" t="s">
        <v>15</v>
      </c>
      <c r="M621" t="str">
        <f t="shared" si="9"/>
        <v>Adult</v>
      </c>
    </row>
    <row r="622" spans="1:1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1237</v>
      </c>
      <c r="L622" t="s">
        <v>20</v>
      </c>
      <c r="M622" t="str">
        <f t="shared" si="9"/>
        <v>Adult</v>
      </c>
    </row>
    <row r="623" spans="1:1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  <c r="M623" t="str">
        <f t="shared" si="9"/>
        <v>Middle Age</v>
      </c>
    </row>
    <row r="624" spans="1:1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1237</v>
      </c>
      <c r="L624" t="s">
        <v>20</v>
      </c>
      <c r="M624" t="str">
        <f t="shared" si="9"/>
        <v>Adult</v>
      </c>
    </row>
    <row r="625" spans="1:1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1237</v>
      </c>
      <c r="L625" t="s">
        <v>15</v>
      </c>
      <c r="M625" t="str">
        <f t="shared" si="9"/>
        <v>Adult</v>
      </c>
    </row>
    <row r="626" spans="1:1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1237</v>
      </c>
      <c r="L626" t="s">
        <v>15</v>
      </c>
      <c r="M626" t="str">
        <f t="shared" si="9"/>
        <v>Adult</v>
      </c>
    </row>
    <row r="627" spans="1:1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  <c r="M627" t="str">
        <f t="shared" si="9"/>
        <v>Senior</v>
      </c>
    </row>
    <row r="628" spans="1:1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1237</v>
      </c>
      <c r="L628" t="s">
        <v>27</v>
      </c>
      <c r="M628" t="str">
        <f t="shared" si="9"/>
        <v>Middle Age</v>
      </c>
    </row>
    <row r="629" spans="1:1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  <c r="M629" t="str">
        <f t="shared" si="9"/>
        <v>Adult</v>
      </c>
    </row>
    <row r="630" spans="1:1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1237</v>
      </c>
      <c r="L630" t="s">
        <v>15</v>
      </c>
      <c r="M630" t="str">
        <f t="shared" si="9"/>
        <v>Adult</v>
      </c>
    </row>
    <row r="631" spans="1:13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K631" t="s">
        <v>1237</v>
      </c>
      <c r="L631" t="s">
        <v>27</v>
      </c>
      <c r="M631" t="str">
        <f t="shared" si="9"/>
        <v>Adult</v>
      </c>
    </row>
    <row r="632" spans="1:1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  <c r="M632" t="str">
        <f t="shared" si="9"/>
        <v>Senior</v>
      </c>
    </row>
    <row r="633" spans="1:1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1237</v>
      </c>
      <c r="L633" t="s">
        <v>15</v>
      </c>
      <c r="M633" t="str">
        <f t="shared" si="9"/>
        <v>Middle Age</v>
      </c>
    </row>
    <row r="634" spans="1:1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  <c r="M634" t="str">
        <f t="shared" si="9"/>
        <v>Adult</v>
      </c>
    </row>
    <row r="635" spans="1:13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28</v>
      </c>
      <c r="G635">
        <v>0</v>
      </c>
      <c r="H635">
        <v>0</v>
      </c>
      <c r="I635">
        <v>112052</v>
      </c>
      <c r="J635">
        <v>0</v>
      </c>
      <c r="K635" t="s">
        <v>1237</v>
      </c>
      <c r="L635" t="s">
        <v>15</v>
      </c>
      <c r="M635" t="str">
        <f t="shared" si="9"/>
        <v>Adult</v>
      </c>
    </row>
    <row r="636" spans="1:1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1237</v>
      </c>
      <c r="L636" t="s">
        <v>15</v>
      </c>
      <c r="M636" t="str">
        <f t="shared" si="9"/>
        <v>Child</v>
      </c>
    </row>
    <row r="637" spans="1:1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1237</v>
      </c>
      <c r="L637" t="s">
        <v>15</v>
      </c>
      <c r="M637" t="str">
        <f t="shared" si="9"/>
        <v>Adult</v>
      </c>
    </row>
    <row r="638" spans="1:1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K638" t="s">
        <v>1237</v>
      </c>
      <c r="L638" t="s">
        <v>15</v>
      </c>
      <c r="M638" t="str">
        <f t="shared" si="9"/>
        <v>Adult</v>
      </c>
    </row>
    <row r="639" spans="1:1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K639" t="s">
        <v>1237</v>
      </c>
      <c r="L639" t="s">
        <v>15</v>
      </c>
      <c r="M639" t="str">
        <f t="shared" si="9"/>
        <v>Adult</v>
      </c>
    </row>
    <row r="640" spans="1:1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1237</v>
      </c>
      <c r="L640" t="s">
        <v>15</v>
      </c>
      <c r="M640" t="str">
        <f t="shared" si="9"/>
        <v>Middle Age</v>
      </c>
    </row>
    <row r="641" spans="1:13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K641" t="s">
        <v>1237</v>
      </c>
      <c r="L641" t="s">
        <v>15</v>
      </c>
      <c r="M641" t="str">
        <f t="shared" si="9"/>
        <v>Adult</v>
      </c>
    </row>
    <row r="642" spans="1:1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1237</v>
      </c>
      <c r="L642" t="s">
        <v>15</v>
      </c>
      <c r="M642" t="str">
        <f t="shared" ref="M642:M705" si="10">IF(F642&lt;13,"Child",IF(F642&lt;20,"Teenager",IF(F642&lt;40,"Adult",IF(F642&lt;60,"Middle Age","Senior"))))</f>
        <v>Adult</v>
      </c>
    </row>
    <row r="643" spans="1:1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  <c r="M643" t="str">
        <f t="shared" si="10"/>
        <v>Adult</v>
      </c>
    </row>
    <row r="644" spans="1:1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1237</v>
      </c>
      <c r="L644" t="s">
        <v>15</v>
      </c>
      <c r="M644" t="str">
        <f t="shared" si="10"/>
        <v>Child</v>
      </c>
    </row>
    <row r="645" spans="1:13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K645" t="s">
        <v>1237</v>
      </c>
      <c r="L645" t="s">
        <v>15</v>
      </c>
      <c r="M645" t="str">
        <f t="shared" si="10"/>
        <v>Adult</v>
      </c>
    </row>
    <row r="646" spans="1:1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1237</v>
      </c>
      <c r="L646" t="s">
        <v>20</v>
      </c>
      <c r="M646" t="str">
        <f t="shared" si="10"/>
        <v>Child</v>
      </c>
    </row>
    <row r="647" spans="1:1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  <c r="M647" t="str">
        <f t="shared" si="10"/>
        <v>Middle Age</v>
      </c>
    </row>
    <row r="648" spans="1:1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1237</v>
      </c>
      <c r="L648" t="s">
        <v>15</v>
      </c>
      <c r="M648" t="str">
        <f t="shared" si="10"/>
        <v>Teenager</v>
      </c>
    </row>
    <row r="649" spans="1:1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  <c r="M649" t="str">
        <f t="shared" si="10"/>
        <v>Middle Age</v>
      </c>
    </row>
    <row r="650" spans="1:13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28</v>
      </c>
      <c r="G650">
        <v>0</v>
      </c>
      <c r="H650">
        <v>0</v>
      </c>
      <c r="I650" t="s">
        <v>916</v>
      </c>
      <c r="J650">
        <v>7.55</v>
      </c>
      <c r="K650" t="s">
        <v>1237</v>
      </c>
      <c r="L650" t="s">
        <v>15</v>
      </c>
      <c r="M650" t="str">
        <f t="shared" si="10"/>
        <v>Adult</v>
      </c>
    </row>
    <row r="651" spans="1:1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K651" t="s">
        <v>1237</v>
      </c>
      <c r="L651" t="s">
        <v>15</v>
      </c>
      <c r="M651" t="str">
        <f t="shared" si="10"/>
        <v>Adult</v>
      </c>
    </row>
    <row r="652" spans="1:13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K652" t="s">
        <v>1237</v>
      </c>
      <c r="L652" t="s">
        <v>15</v>
      </c>
      <c r="M652" t="str">
        <f t="shared" si="10"/>
        <v>Adult</v>
      </c>
    </row>
    <row r="653" spans="1:1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1237</v>
      </c>
      <c r="L653" t="s">
        <v>15</v>
      </c>
      <c r="M653" t="str">
        <f t="shared" si="10"/>
        <v>Teenager</v>
      </c>
    </row>
    <row r="654" spans="1:1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1237</v>
      </c>
      <c r="L654" t="s">
        <v>15</v>
      </c>
      <c r="M654" t="str">
        <f t="shared" si="10"/>
        <v>Adult</v>
      </c>
    </row>
    <row r="655" spans="1:13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K655" t="s">
        <v>1237</v>
      </c>
      <c r="L655" t="s">
        <v>27</v>
      </c>
      <c r="M655" t="str">
        <f t="shared" si="10"/>
        <v>Adult</v>
      </c>
    </row>
    <row r="656" spans="1:1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1237</v>
      </c>
      <c r="L656" t="s">
        <v>27</v>
      </c>
      <c r="M656" t="str">
        <f t="shared" si="10"/>
        <v>Teenager</v>
      </c>
    </row>
    <row r="657" spans="1:1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K657" t="s">
        <v>1237</v>
      </c>
      <c r="L657" t="s">
        <v>15</v>
      </c>
      <c r="M657" t="str">
        <f t="shared" si="10"/>
        <v>Adult</v>
      </c>
    </row>
    <row r="658" spans="1:13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K658" t="s">
        <v>1237</v>
      </c>
      <c r="L658" t="s">
        <v>15</v>
      </c>
      <c r="M658" t="str">
        <f t="shared" si="10"/>
        <v>Adult</v>
      </c>
    </row>
    <row r="659" spans="1:1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1237</v>
      </c>
      <c r="L659" t="s">
        <v>27</v>
      </c>
      <c r="M659" t="str">
        <f t="shared" si="10"/>
        <v>Adult</v>
      </c>
    </row>
    <row r="660" spans="1:1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1237</v>
      </c>
      <c r="L660" t="s">
        <v>15</v>
      </c>
      <c r="M660" t="str">
        <f t="shared" si="10"/>
        <v>Adult</v>
      </c>
    </row>
    <row r="661" spans="1:1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  <c r="M661" t="str">
        <f t="shared" si="10"/>
        <v>Middle Age</v>
      </c>
    </row>
    <row r="662" spans="1:1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K662" t="s">
        <v>1237</v>
      </c>
      <c r="L662" t="s">
        <v>15</v>
      </c>
      <c r="M662" t="str">
        <f t="shared" si="10"/>
        <v>Middle Age</v>
      </c>
    </row>
    <row r="663" spans="1:1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1237</v>
      </c>
      <c r="L663" t="s">
        <v>20</v>
      </c>
      <c r="M663" t="str">
        <f t="shared" si="10"/>
        <v>Middle Age</v>
      </c>
    </row>
    <row r="664" spans="1:1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  <c r="M664" t="str">
        <f t="shared" si="10"/>
        <v>Middle Age</v>
      </c>
    </row>
    <row r="665" spans="1:1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1237</v>
      </c>
      <c r="L665" t="s">
        <v>15</v>
      </c>
      <c r="M665" t="str">
        <f t="shared" si="10"/>
        <v>Adult</v>
      </c>
    </row>
    <row r="666" spans="1:1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K666" t="s">
        <v>1237</v>
      </c>
      <c r="L666" t="s">
        <v>15</v>
      </c>
      <c r="M666" t="str">
        <f t="shared" si="10"/>
        <v>Adult</v>
      </c>
    </row>
    <row r="667" spans="1:1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K667" t="s">
        <v>1237</v>
      </c>
      <c r="L667" t="s">
        <v>15</v>
      </c>
      <c r="M667" t="str">
        <f t="shared" si="10"/>
        <v>Adult</v>
      </c>
    </row>
    <row r="668" spans="1:1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1237</v>
      </c>
      <c r="L668" t="s">
        <v>15</v>
      </c>
      <c r="M668" t="str">
        <f t="shared" si="10"/>
        <v>Adult</v>
      </c>
    </row>
    <row r="669" spans="1:13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K669" t="s">
        <v>1237</v>
      </c>
      <c r="L669" t="s">
        <v>15</v>
      </c>
      <c r="M669" t="str">
        <f t="shared" si="10"/>
        <v>Adult</v>
      </c>
    </row>
    <row r="670" spans="1:1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K670" t="s">
        <v>1237</v>
      </c>
      <c r="L670" t="s">
        <v>15</v>
      </c>
      <c r="M670" t="str">
        <f t="shared" si="10"/>
        <v>Middle Age</v>
      </c>
    </row>
    <row r="671" spans="1:13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  <c r="M671" t="str">
        <f t="shared" si="10"/>
        <v>Adult</v>
      </c>
    </row>
    <row r="672" spans="1:1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1237</v>
      </c>
      <c r="L672" t="s">
        <v>15</v>
      </c>
      <c r="M672" t="str">
        <f t="shared" si="10"/>
        <v>Middle Age</v>
      </c>
    </row>
    <row r="673" spans="1:1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  <c r="M673" t="str">
        <f t="shared" si="10"/>
        <v>Adult</v>
      </c>
    </row>
    <row r="674" spans="1:1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K674" t="s">
        <v>1237</v>
      </c>
      <c r="L674" t="s">
        <v>15</v>
      </c>
      <c r="M674" t="str">
        <f t="shared" si="10"/>
        <v>Senior</v>
      </c>
    </row>
    <row r="675" spans="1:1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1237</v>
      </c>
      <c r="L675" t="s">
        <v>15</v>
      </c>
      <c r="M675" t="str">
        <f t="shared" si="10"/>
        <v>Adult</v>
      </c>
    </row>
    <row r="676" spans="1:13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28</v>
      </c>
      <c r="G676">
        <v>0</v>
      </c>
      <c r="H676">
        <v>0</v>
      </c>
      <c r="I676">
        <v>239856</v>
      </c>
      <c r="J676">
        <v>0</v>
      </c>
      <c r="K676" t="s">
        <v>1237</v>
      </c>
      <c r="L676" t="s">
        <v>15</v>
      </c>
      <c r="M676" t="str">
        <f t="shared" si="10"/>
        <v>Adult</v>
      </c>
    </row>
    <row r="677" spans="1:1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1237</v>
      </c>
      <c r="L677" t="s">
        <v>15</v>
      </c>
      <c r="M677" t="str">
        <f t="shared" si="10"/>
        <v>Teenager</v>
      </c>
    </row>
    <row r="678" spans="1:1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1237</v>
      </c>
      <c r="L678" t="s">
        <v>15</v>
      </c>
      <c r="M678" t="str">
        <f t="shared" si="10"/>
        <v>Adult</v>
      </c>
    </row>
    <row r="679" spans="1:1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1237</v>
      </c>
      <c r="L679" t="s">
        <v>15</v>
      </c>
      <c r="M679" t="str">
        <f t="shared" si="10"/>
        <v>Teenager</v>
      </c>
    </row>
    <row r="680" spans="1:1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K680" t="s">
        <v>1237</v>
      </c>
      <c r="L680" t="s">
        <v>15</v>
      </c>
      <c r="M680" t="str">
        <f t="shared" si="10"/>
        <v>Middle Age</v>
      </c>
    </row>
    <row r="681" spans="1:1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  <c r="M681" t="str">
        <f t="shared" si="10"/>
        <v>Adult</v>
      </c>
    </row>
    <row r="682" spans="1:13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K682" t="s">
        <v>1237</v>
      </c>
      <c r="L682" t="s">
        <v>27</v>
      </c>
      <c r="M682" t="str">
        <f t="shared" si="10"/>
        <v>Adult</v>
      </c>
    </row>
    <row r="683" spans="1:1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  <c r="M683" t="str">
        <f t="shared" si="10"/>
        <v>Adult</v>
      </c>
    </row>
    <row r="684" spans="1:1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1237</v>
      </c>
      <c r="L684" t="s">
        <v>15</v>
      </c>
      <c r="M684" t="str">
        <f t="shared" si="10"/>
        <v>Adult</v>
      </c>
    </row>
    <row r="685" spans="1:1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K685" t="s">
        <v>1237</v>
      </c>
      <c r="L685" t="s">
        <v>15</v>
      </c>
      <c r="M685" t="str">
        <f t="shared" si="10"/>
        <v>Teenager</v>
      </c>
    </row>
    <row r="686" spans="1:1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1237</v>
      </c>
      <c r="L686" t="s">
        <v>15</v>
      </c>
      <c r="M686" t="str">
        <f t="shared" si="10"/>
        <v>Senior</v>
      </c>
    </row>
    <row r="687" spans="1:1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K687" t="s">
        <v>1237</v>
      </c>
      <c r="L687" t="s">
        <v>20</v>
      </c>
      <c r="M687" t="str">
        <f t="shared" si="10"/>
        <v>Adult</v>
      </c>
    </row>
    <row r="688" spans="1:1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1237</v>
      </c>
      <c r="L688" t="s">
        <v>15</v>
      </c>
      <c r="M688" t="str">
        <f t="shared" si="10"/>
        <v>Teenager</v>
      </c>
    </row>
    <row r="689" spans="1:1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1237</v>
      </c>
      <c r="L689" t="s">
        <v>15</v>
      </c>
      <c r="M689" t="str">
        <f t="shared" si="10"/>
        <v>Teenager</v>
      </c>
    </row>
    <row r="690" spans="1:1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1237</v>
      </c>
      <c r="L690" t="s">
        <v>15</v>
      </c>
      <c r="M690" t="str">
        <f t="shared" si="10"/>
        <v>Teenager</v>
      </c>
    </row>
    <row r="691" spans="1:1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  <c r="M691" t="str">
        <f t="shared" si="10"/>
        <v>Teenager</v>
      </c>
    </row>
    <row r="692" spans="1:1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  <c r="M692" t="str">
        <f t="shared" si="10"/>
        <v>Adult</v>
      </c>
    </row>
    <row r="693" spans="1:1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1237</v>
      </c>
      <c r="L693" t="s">
        <v>20</v>
      </c>
      <c r="M693" t="str">
        <f t="shared" si="10"/>
        <v>Child</v>
      </c>
    </row>
    <row r="694" spans="1:13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K694" t="s">
        <v>1237</v>
      </c>
      <c r="L694" t="s">
        <v>15</v>
      </c>
      <c r="M694" t="str">
        <f t="shared" si="10"/>
        <v>Adult</v>
      </c>
    </row>
    <row r="695" spans="1:1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1237</v>
      </c>
      <c r="L695" t="s">
        <v>20</v>
      </c>
      <c r="M695" t="str">
        <f t="shared" si="10"/>
        <v>Adult</v>
      </c>
    </row>
    <row r="696" spans="1:1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1237</v>
      </c>
      <c r="L696" t="s">
        <v>15</v>
      </c>
      <c r="M696" t="str">
        <f t="shared" si="10"/>
        <v>Senior</v>
      </c>
    </row>
    <row r="697" spans="1:1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1237</v>
      </c>
      <c r="L697" t="s">
        <v>15</v>
      </c>
      <c r="M697" t="str">
        <f t="shared" si="10"/>
        <v>Middle Age</v>
      </c>
    </row>
    <row r="698" spans="1:1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1237</v>
      </c>
      <c r="L698" t="s">
        <v>15</v>
      </c>
      <c r="M698" t="str">
        <f t="shared" si="10"/>
        <v>Middle Age</v>
      </c>
    </row>
    <row r="699" spans="1:13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K699" t="s">
        <v>1237</v>
      </c>
      <c r="L699" t="s">
        <v>27</v>
      </c>
      <c r="M699" t="str">
        <f t="shared" si="10"/>
        <v>Adult</v>
      </c>
    </row>
    <row r="700" spans="1:1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  <c r="M700" t="str">
        <f t="shared" si="10"/>
        <v>Middle Age</v>
      </c>
    </row>
    <row r="701" spans="1:1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  <c r="M701" t="str">
        <f t="shared" si="10"/>
        <v>Middle Age</v>
      </c>
    </row>
    <row r="702" spans="1:1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  <c r="M702" t="str">
        <f t="shared" si="10"/>
        <v>Teenager</v>
      </c>
    </row>
    <row r="703" spans="1:1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  <c r="M703" t="str">
        <f t="shared" si="10"/>
        <v>Adult</v>
      </c>
    </row>
    <row r="704" spans="1:1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1237</v>
      </c>
      <c r="L704" t="s">
        <v>20</v>
      </c>
      <c r="M704" t="str">
        <f t="shared" si="10"/>
        <v>Teenager</v>
      </c>
    </row>
    <row r="705" spans="1:1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1237</v>
      </c>
      <c r="L705" t="s">
        <v>27</v>
      </c>
      <c r="M705" t="str">
        <f t="shared" si="10"/>
        <v>Adult</v>
      </c>
    </row>
    <row r="706" spans="1:1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1237</v>
      </c>
      <c r="L706" t="s">
        <v>15</v>
      </c>
      <c r="M706" t="str">
        <f t="shared" ref="M706:M769" si="11">IF(F706&lt;13,"Child",IF(F706&lt;20,"Teenager",IF(F706&lt;40,"Adult",IF(F706&lt;60,"Middle Age","Senior"))))</f>
        <v>Adult</v>
      </c>
    </row>
    <row r="707" spans="1:1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1237</v>
      </c>
      <c r="L707" t="s">
        <v>15</v>
      </c>
      <c r="M707" t="str">
        <f t="shared" si="11"/>
        <v>Adult</v>
      </c>
    </row>
    <row r="708" spans="1:1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1237</v>
      </c>
      <c r="L708" t="s">
        <v>15</v>
      </c>
      <c r="M708" t="str">
        <f t="shared" si="11"/>
        <v>Middle Age</v>
      </c>
    </row>
    <row r="709" spans="1:1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  <c r="M709" t="str">
        <f t="shared" si="11"/>
        <v>Middle Age</v>
      </c>
    </row>
    <row r="710" spans="1:1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1237</v>
      </c>
      <c r="L710" t="s">
        <v>15</v>
      </c>
      <c r="M710" t="str">
        <f t="shared" si="11"/>
        <v>Adult</v>
      </c>
    </row>
    <row r="711" spans="1:13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K711" t="s">
        <v>1237</v>
      </c>
      <c r="L711" t="s">
        <v>20</v>
      </c>
      <c r="M711" t="str">
        <f t="shared" si="11"/>
        <v>Adult</v>
      </c>
    </row>
    <row r="712" spans="1:1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  <c r="M712" t="str">
        <f t="shared" si="11"/>
        <v>Adult</v>
      </c>
    </row>
    <row r="713" spans="1:13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  <c r="M713" t="str">
        <f t="shared" si="11"/>
        <v>Adult</v>
      </c>
    </row>
    <row r="714" spans="1:1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  <c r="M714" t="str">
        <f t="shared" si="11"/>
        <v>Middle Age</v>
      </c>
    </row>
    <row r="715" spans="1:1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1237</v>
      </c>
      <c r="L715" t="s">
        <v>15</v>
      </c>
      <c r="M715" t="str">
        <f t="shared" si="11"/>
        <v>Adult</v>
      </c>
    </row>
    <row r="716" spans="1:1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1237</v>
      </c>
      <c r="L716" t="s">
        <v>15</v>
      </c>
      <c r="M716" t="str">
        <f t="shared" si="11"/>
        <v>Middle Age</v>
      </c>
    </row>
    <row r="717" spans="1:1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  <c r="M717" t="str">
        <f t="shared" si="11"/>
        <v>Teenager</v>
      </c>
    </row>
    <row r="718" spans="1:1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  <c r="M718" t="str">
        <f t="shared" si="11"/>
        <v>Adult</v>
      </c>
    </row>
    <row r="719" spans="1:1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  <c r="M719" t="str">
        <f t="shared" si="11"/>
        <v>Adult</v>
      </c>
    </row>
    <row r="720" spans="1:13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28</v>
      </c>
      <c r="G720">
        <v>0</v>
      </c>
      <c r="H720">
        <v>0</v>
      </c>
      <c r="I720">
        <v>36568</v>
      </c>
      <c r="J720">
        <v>15.5</v>
      </c>
      <c r="K720" t="s">
        <v>1237</v>
      </c>
      <c r="L720" t="s">
        <v>27</v>
      </c>
      <c r="M720" t="str">
        <f t="shared" si="11"/>
        <v>Adult</v>
      </c>
    </row>
    <row r="721" spans="1:1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1237</v>
      </c>
      <c r="L721" t="s">
        <v>15</v>
      </c>
      <c r="M721" t="str">
        <f t="shared" si="11"/>
        <v>Adult</v>
      </c>
    </row>
    <row r="722" spans="1:1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1237</v>
      </c>
      <c r="L722" t="s">
        <v>15</v>
      </c>
      <c r="M722" t="str">
        <f t="shared" si="11"/>
        <v>Child</v>
      </c>
    </row>
    <row r="723" spans="1:1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1237</v>
      </c>
      <c r="L723" t="s">
        <v>15</v>
      </c>
      <c r="M723" t="str">
        <f t="shared" si="11"/>
        <v>Teenager</v>
      </c>
    </row>
    <row r="724" spans="1:1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1237</v>
      </c>
      <c r="L724" t="s">
        <v>15</v>
      </c>
      <c r="M724" t="str">
        <f t="shared" si="11"/>
        <v>Adult</v>
      </c>
    </row>
    <row r="725" spans="1:1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1237</v>
      </c>
      <c r="L725" t="s">
        <v>15</v>
      </c>
      <c r="M725" t="str">
        <f t="shared" si="11"/>
        <v>Middle Age</v>
      </c>
    </row>
    <row r="726" spans="1:1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  <c r="M726" t="str">
        <f t="shared" si="11"/>
        <v>Adult</v>
      </c>
    </row>
    <row r="727" spans="1:1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1237</v>
      </c>
      <c r="L727" t="s">
        <v>15</v>
      </c>
      <c r="M727" t="str">
        <f t="shared" si="11"/>
        <v>Adult</v>
      </c>
    </row>
    <row r="728" spans="1:1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1237</v>
      </c>
      <c r="L728" t="s">
        <v>15</v>
      </c>
      <c r="M728" t="str">
        <f t="shared" si="11"/>
        <v>Adult</v>
      </c>
    </row>
    <row r="729" spans="1:13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K729" t="s">
        <v>1237</v>
      </c>
      <c r="L729" t="s">
        <v>27</v>
      </c>
      <c r="M729" t="str">
        <f t="shared" si="11"/>
        <v>Adult</v>
      </c>
    </row>
    <row r="730" spans="1:1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1237</v>
      </c>
      <c r="L730" t="s">
        <v>15</v>
      </c>
      <c r="M730" t="str">
        <f t="shared" si="11"/>
        <v>Adult</v>
      </c>
    </row>
    <row r="731" spans="1:1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K731" t="s">
        <v>1237</v>
      </c>
      <c r="L731" t="s">
        <v>15</v>
      </c>
      <c r="M731" t="str">
        <f t="shared" si="11"/>
        <v>Adult</v>
      </c>
    </row>
    <row r="732" spans="1:1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  <c r="M732" t="str">
        <f t="shared" si="11"/>
        <v>Adult</v>
      </c>
    </row>
    <row r="733" spans="1:1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1237</v>
      </c>
      <c r="L733" t="s">
        <v>20</v>
      </c>
      <c r="M733" t="str">
        <f t="shared" si="11"/>
        <v>Child</v>
      </c>
    </row>
    <row r="734" spans="1:13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28</v>
      </c>
      <c r="G734">
        <v>0</v>
      </c>
      <c r="H734">
        <v>0</v>
      </c>
      <c r="I734">
        <v>239855</v>
      </c>
      <c r="J734">
        <v>0</v>
      </c>
      <c r="K734" t="s">
        <v>1237</v>
      </c>
      <c r="L734" t="s">
        <v>15</v>
      </c>
      <c r="M734" t="str">
        <f t="shared" si="11"/>
        <v>Adult</v>
      </c>
    </row>
    <row r="735" spans="1:1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1237</v>
      </c>
      <c r="L735" t="s">
        <v>15</v>
      </c>
      <c r="M735" t="str">
        <f t="shared" si="11"/>
        <v>Adult</v>
      </c>
    </row>
    <row r="736" spans="1:1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1237</v>
      </c>
      <c r="L736" t="s">
        <v>15</v>
      </c>
      <c r="M736" t="str">
        <f t="shared" si="11"/>
        <v>Adult</v>
      </c>
    </row>
    <row r="737" spans="1:1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1237</v>
      </c>
      <c r="L737" t="s">
        <v>15</v>
      </c>
      <c r="M737" t="str">
        <f t="shared" si="11"/>
        <v>Adult</v>
      </c>
    </row>
    <row r="738" spans="1:1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K738" t="s">
        <v>1237</v>
      </c>
      <c r="L738" t="s">
        <v>15</v>
      </c>
      <c r="M738" t="str">
        <f t="shared" si="11"/>
        <v>Middle Age</v>
      </c>
    </row>
    <row r="739" spans="1:1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  <c r="M739" t="str">
        <f t="shared" si="11"/>
        <v>Adult</v>
      </c>
    </row>
    <row r="740" spans="1:13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K740" t="s">
        <v>1237</v>
      </c>
      <c r="L740" t="s">
        <v>15</v>
      </c>
      <c r="M740" t="str">
        <f t="shared" si="11"/>
        <v>Adult</v>
      </c>
    </row>
    <row r="741" spans="1:13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K741" t="s">
        <v>1237</v>
      </c>
      <c r="L741" t="s">
        <v>15</v>
      </c>
      <c r="M741" t="str">
        <f t="shared" si="11"/>
        <v>Adult</v>
      </c>
    </row>
    <row r="742" spans="1:13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  <c r="M742" t="str">
        <f t="shared" si="11"/>
        <v>Adult</v>
      </c>
    </row>
    <row r="743" spans="1:1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  <c r="M743" t="str">
        <f t="shared" si="11"/>
        <v>Adult</v>
      </c>
    </row>
    <row r="744" spans="1:1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  <c r="M744" t="str">
        <f t="shared" si="11"/>
        <v>Adult</v>
      </c>
    </row>
    <row r="745" spans="1:1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1237</v>
      </c>
      <c r="L745" t="s">
        <v>15</v>
      </c>
      <c r="M745" t="str">
        <f t="shared" si="11"/>
        <v>Adult</v>
      </c>
    </row>
    <row r="746" spans="1:1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K746" t="s">
        <v>1237</v>
      </c>
      <c r="L746" t="s">
        <v>15</v>
      </c>
      <c r="M746" t="str">
        <f t="shared" si="11"/>
        <v>Adult</v>
      </c>
    </row>
    <row r="747" spans="1:1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  <c r="M747" t="str">
        <f t="shared" si="11"/>
        <v>Senior</v>
      </c>
    </row>
    <row r="748" spans="1:1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K748" t="s">
        <v>1237</v>
      </c>
      <c r="L748" t="s">
        <v>15</v>
      </c>
      <c r="M748" t="str">
        <f t="shared" si="11"/>
        <v>Teenager</v>
      </c>
    </row>
    <row r="749" spans="1:1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1237</v>
      </c>
      <c r="L749" t="s">
        <v>15</v>
      </c>
      <c r="M749" t="str">
        <f t="shared" si="11"/>
        <v>Adult</v>
      </c>
    </row>
    <row r="750" spans="1:1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  <c r="M750" t="str">
        <f t="shared" si="11"/>
        <v>Teenager</v>
      </c>
    </row>
    <row r="751" spans="1:1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1237</v>
      </c>
      <c r="L751" t="s">
        <v>27</v>
      </c>
      <c r="M751" t="str">
        <f t="shared" si="11"/>
        <v>Adult</v>
      </c>
    </row>
    <row r="752" spans="1:1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1237</v>
      </c>
      <c r="L752" t="s">
        <v>15</v>
      </c>
      <c r="M752" t="str">
        <f t="shared" si="11"/>
        <v>Child</v>
      </c>
    </row>
    <row r="753" spans="1:1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  <c r="M753" t="str">
        <f t="shared" si="11"/>
        <v>Child</v>
      </c>
    </row>
    <row r="754" spans="1:1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1237</v>
      </c>
      <c r="L754" t="s">
        <v>15</v>
      </c>
      <c r="M754" t="str">
        <f t="shared" si="11"/>
        <v>Adult</v>
      </c>
    </row>
    <row r="755" spans="1:1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1237</v>
      </c>
      <c r="L755" t="s">
        <v>15</v>
      </c>
      <c r="M755" t="str">
        <f t="shared" si="11"/>
        <v>Adult</v>
      </c>
    </row>
    <row r="756" spans="1:1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1237</v>
      </c>
      <c r="L756" t="s">
        <v>15</v>
      </c>
      <c r="M756" t="str">
        <f t="shared" si="11"/>
        <v>Middle Age</v>
      </c>
    </row>
    <row r="757" spans="1:1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1237</v>
      </c>
      <c r="L757" t="s">
        <v>15</v>
      </c>
      <c r="M757" t="str">
        <f t="shared" si="11"/>
        <v>Child</v>
      </c>
    </row>
    <row r="758" spans="1:1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1237</v>
      </c>
      <c r="L758" t="s">
        <v>15</v>
      </c>
      <c r="M758" t="str">
        <f t="shared" si="11"/>
        <v>Adult</v>
      </c>
    </row>
    <row r="759" spans="1:1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1237</v>
      </c>
      <c r="L759" t="s">
        <v>15</v>
      </c>
      <c r="M759" t="str">
        <f t="shared" si="11"/>
        <v>Teenager</v>
      </c>
    </row>
    <row r="760" spans="1:1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1237</v>
      </c>
      <c r="L760" t="s">
        <v>15</v>
      </c>
      <c r="M760" t="str">
        <f t="shared" si="11"/>
        <v>Adult</v>
      </c>
    </row>
    <row r="761" spans="1:1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  <c r="M761" t="str">
        <f t="shared" si="11"/>
        <v>Adult</v>
      </c>
    </row>
    <row r="762" spans="1:13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28</v>
      </c>
      <c r="G762">
        <v>0</v>
      </c>
      <c r="H762">
        <v>0</v>
      </c>
      <c r="I762">
        <v>358585</v>
      </c>
      <c r="J762">
        <v>14.5</v>
      </c>
      <c r="K762" t="s">
        <v>1237</v>
      </c>
      <c r="L762" t="s">
        <v>15</v>
      </c>
      <c r="M762" t="str">
        <f t="shared" si="11"/>
        <v>Adult</v>
      </c>
    </row>
    <row r="763" spans="1:1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K763" t="s">
        <v>1237</v>
      </c>
      <c r="L763" t="s">
        <v>15</v>
      </c>
      <c r="M763" t="str">
        <f t="shared" si="11"/>
        <v>Middle Age</v>
      </c>
    </row>
    <row r="764" spans="1:1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1237</v>
      </c>
      <c r="L764" t="s">
        <v>20</v>
      </c>
      <c r="M764" t="str">
        <f t="shared" si="11"/>
        <v>Adult</v>
      </c>
    </row>
    <row r="765" spans="1:1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  <c r="M765" t="str">
        <f t="shared" si="11"/>
        <v>Adult</v>
      </c>
    </row>
    <row r="766" spans="1:1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1237</v>
      </c>
      <c r="L766" t="s">
        <v>15</v>
      </c>
      <c r="M766" t="str">
        <f t="shared" si="11"/>
        <v>Teenager</v>
      </c>
    </row>
    <row r="767" spans="1:1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  <c r="M767" t="str">
        <f t="shared" si="11"/>
        <v>Middle Age</v>
      </c>
    </row>
    <row r="768" spans="1:13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28</v>
      </c>
      <c r="G768">
        <v>0</v>
      </c>
      <c r="H768">
        <v>0</v>
      </c>
      <c r="I768">
        <v>112379</v>
      </c>
      <c r="J768">
        <v>39.6</v>
      </c>
      <c r="K768" t="s">
        <v>1237</v>
      </c>
      <c r="L768" t="s">
        <v>20</v>
      </c>
      <c r="M768" t="str">
        <f t="shared" si="11"/>
        <v>Adult</v>
      </c>
    </row>
    <row r="769" spans="1:1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1237</v>
      </c>
      <c r="L769" t="s">
        <v>27</v>
      </c>
      <c r="M769" t="str">
        <f t="shared" si="11"/>
        <v>Adult</v>
      </c>
    </row>
    <row r="770" spans="1:13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28</v>
      </c>
      <c r="G770">
        <v>1</v>
      </c>
      <c r="H770">
        <v>0</v>
      </c>
      <c r="I770">
        <v>371110</v>
      </c>
      <c r="J770">
        <v>24.15</v>
      </c>
      <c r="K770" t="s">
        <v>1237</v>
      </c>
      <c r="L770" t="s">
        <v>27</v>
      </c>
      <c r="M770" t="str">
        <f t="shared" ref="M770:M833" si="12">IF(F770&lt;13,"Child",IF(F770&lt;20,"Teenager",IF(F770&lt;40,"Adult",IF(F770&lt;60,"Middle Age","Senior"))))</f>
        <v>Adult</v>
      </c>
    </row>
    <row r="771" spans="1:1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1237</v>
      </c>
      <c r="L771" t="s">
        <v>15</v>
      </c>
      <c r="M771" t="str">
        <f t="shared" si="12"/>
        <v>Adult</v>
      </c>
    </row>
    <row r="772" spans="1:1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1237</v>
      </c>
      <c r="L772" t="s">
        <v>15</v>
      </c>
      <c r="M772" t="str">
        <f t="shared" si="12"/>
        <v>Adult</v>
      </c>
    </row>
    <row r="773" spans="1:1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1237</v>
      </c>
      <c r="L773" t="s">
        <v>15</v>
      </c>
      <c r="M773" t="str">
        <f t="shared" si="12"/>
        <v>Middle Age</v>
      </c>
    </row>
    <row r="774" spans="1:1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  <c r="M774" t="str">
        <f t="shared" si="12"/>
        <v>Middle Age</v>
      </c>
    </row>
    <row r="775" spans="1:13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K775" t="s">
        <v>1237</v>
      </c>
      <c r="L775" t="s">
        <v>20</v>
      </c>
      <c r="M775" t="str">
        <f t="shared" si="12"/>
        <v>Adult</v>
      </c>
    </row>
    <row r="776" spans="1:1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1237</v>
      </c>
      <c r="L776" t="s">
        <v>15</v>
      </c>
      <c r="M776" t="str">
        <f t="shared" si="12"/>
        <v>Middle Age</v>
      </c>
    </row>
    <row r="777" spans="1:1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1237</v>
      </c>
      <c r="L777" t="s">
        <v>15</v>
      </c>
      <c r="M777" t="str">
        <f t="shared" si="12"/>
        <v>Teenager</v>
      </c>
    </row>
    <row r="778" spans="1:13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  <c r="M778" t="str">
        <f t="shared" si="12"/>
        <v>Adult</v>
      </c>
    </row>
    <row r="779" spans="1:1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1237</v>
      </c>
      <c r="L779" t="s">
        <v>15</v>
      </c>
      <c r="M779" t="str">
        <f t="shared" si="12"/>
        <v>Child</v>
      </c>
    </row>
    <row r="780" spans="1:13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K780" t="s">
        <v>1237</v>
      </c>
      <c r="L780" t="s">
        <v>27</v>
      </c>
      <c r="M780" t="str">
        <f t="shared" si="12"/>
        <v>Adult</v>
      </c>
    </row>
    <row r="781" spans="1:1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  <c r="M781" t="str">
        <f t="shared" si="12"/>
        <v>Middle Age</v>
      </c>
    </row>
    <row r="782" spans="1:1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1237</v>
      </c>
      <c r="L782" t="s">
        <v>20</v>
      </c>
      <c r="M782" t="str">
        <f t="shared" si="12"/>
        <v>Teenager</v>
      </c>
    </row>
    <row r="783" spans="1:1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  <c r="M783" t="str">
        <f t="shared" si="12"/>
        <v>Teenager</v>
      </c>
    </row>
    <row r="784" spans="1:1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  <c r="M784" t="str">
        <f t="shared" si="12"/>
        <v>Adult</v>
      </c>
    </row>
    <row r="785" spans="1:13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28</v>
      </c>
      <c r="G785">
        <v>1</v>
      </c>
      <c r="H785">
        <v>2</v>
      </c>
      <c r="I785" t="s">
        <v>1088</v>
      </c>
      <c r="J785">
        <v>23.45</v>
      </c>
      <c r="K785" t="s">
        <v>1237</v>
      </c>
      <c r="L785" t="s">
        <v>15</v>
      </c>
      <c r="M785" t="str">
        <f t="shared" si="12"/>
        <v>Adult</v>
      </c>
    </row>
    <row r="786" spans="1:1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K786" t="s">
        <v>1237</v>
      </c>
      <c r="L786" t="s">
        <v>15</v>
      </c>
      <c r="M786" t="str">
        <f t="shared" si="12"/>
        <v>Adult</v>
      </c>
    </row>
    <row r="787" spans="1:1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1237</v>
      </c>
      <c r="L787" t="s">
        <v>15</v>
      </c>
      <c r="M787" t="str">
        <f t="shared" si="12"/>
        <v>Adult</v>
      </c>
    </row>
    <row r="788" spans="1:1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1237</v>
      </c>
      <c r="L788" t="s">
        <v>15</v>
      </c>
      <c r="M788" t="str">
        <f t="shared" si="12"/>
        <v>Teenager</v>
      </c>
    </row>
    <row r="789" spans="1:1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1237</v>
      </c>
      <c r="L789" t="s">
        <v>27</v>
      </c>
      <c r="M789" t="str">
        <f t="shared" si="12"/>
        <v>Child</v>
      </c>
    </row>
    <row r="790" spans="1:1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K790" t="s">
        <v>1237</v>
      </c>
      <c r="L790" t="s">
        <v>15</v>
      </c>
      <c r="M790" t="str">
        <f t="shared" si="12"/>
        <v>Child</v>
      </c>
    </row>
    <row r="791" spans="1:1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  <c r="M791" t="str">
        <f t="shared" si="12"/>
        <v>Middle Age</v>
      </c>
    </row>
    <row r="792" spans="1:13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28</v>
      </c>
      <c r="G792">
        <v>0</v>
      </c>
      <c r="H792">
        <v>0</v>
      </c>
      <c r="I792">
        <v>12460</v>
      </c>
      <c r="J792">
        <v>7.75</v>
      </c>
      <c r="K792" t="s">
        <v>1237</v>
      </c>
      <c r="L792" t="s">
        <v>27</v>
      </c>
      <c r="M792" t="str">
        <f t="shared" si="12"/>
        <v>Adult</v>
      </c>
    </row>
    <row r="793" spans="1:1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1237</v>
      </c>
      <c r="L793" t="s">
        <v>15</v>
      </c>
      <c r="M793" t="str">
        <f t="shared" si="12"/>
        <v>Teenager</v>
      </c>
    </row>
    <row r="794" spans="1:13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28</v>
      </c>
      <c r="G794">
        <v>8</v>
      </c>
      <c r="H794">
        <v>2</v>
      </c>
      <c r="I794" t="s">
        <v>251</v>
      </c>
      <c r="J794">
        <v>69.55</v>
      </c>
      <c r="K794" t="s">
        <v>1237</v>
      </c>
      <c r="L794" t="s">
        <v>15</v>
      </c>
      <c r="M794" t="str">
        <f t="shared" si="12"/>
        <v>Adult</v>
      </c>
    </row>
    <row r="795" spans="1:13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28</v>
      </c>
      <c r="G795">
        <v>0</v>
      </c>
      <c r="H795">
        <v>0</v>
      </c>
      <c r="I795" t="s">
        <v>1101</v>
      </c>
      <c r="J795">
        <v>30.695799999999998</v>
      </c>
      <c r="K795" t="s">
        <v>1237</v>
      </c>
      <c r="L795" t="s">
        <v>20</v>
      </c>
      <c r="M795" t="str">
        <f t="shared" si="12"/>
        <v>Adult</v>
      </c>
    </row>
    <row r="796" spans="1:1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1237</v>
      </c>
      <c r="L796" t="s">
        <v>15</v>
      </c>
      <c r="M796" t="str">
        <f t="shared" si="12"/>
        <v>Adult</v>
      </c>
    </row>
    <row r="797" spans="1:1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1237</v>
      </c>
      <c r="L797" t="s">
        <v>15</v>
      </c>
      <c r="M797" t="str">
        <f t="shared" si="12"/>
        <v>Adult</v>
      </c>
    </row>
    <row r="798" spans="1:1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  <c r="M798" t="str">
        <f t="shared" si="12"/>
        <v>Middle Age</v>
      </c>
    </row>
    <row r="799" spans="1:1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1237</v>
      </c>
      <c r="L799" t="s">
        <v>15</v>
      </c>
      <c r="M799" t="str">
        <f t="shared" si="12"/>
        <v>Adult</v>
      </c>
    </row>
    <row r="800" spans="1:1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1237</v>
      </c>
      <c r="L800" t="s">
        <v>20</v>
      </c>
      <c r="M800" t="str">
        <f t="shared" si="12"/>
        <v>Adult</v>
      </c>
    </row>
    <row r="801" spans="1:1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1237</v>
      </c>
      <c r="L801" t="s">
        <v>15</v>
      </c>
      <c r="M801" t="str">
        <f t="shared" si="12"/>
        <v>Adult</v>
      </c>
    </row>
    <row r="802" spans="1:1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1237</v>
      </c>
      <c r="L802" t="s">
        <v>15</v>
      </c>
      <c r="M802" t="str">
        <f t="shared" si="12"/>
        <v>Adult</v>
      </c>
    </row>
    <row r="803" spans="1:1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K803" t="s">
        <v>1237</v>
      </c>
      <c r="L803" t="s">
        <v>15</v>
      </c>
      <c r="M803" t="str">
        <f t="shared" si="12"/>
        <v>Adult</v>
      </c>
    </row>
    <row r="804" spans="1:1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  <c r="M804" t="str">
        <f t="shared" si="12"/>
        <v>Child</v>
      </c>
    </row>
    <row r="805" spans="1:1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1237</v>
      </c>
      <c r="L805" t="s">
        <v>20</v>
      </c>
      <c r="M805" t="str">
        <f t="shared" si="12"/>
        <v>Child</v>
      </c>
    </row>
    <row r="806" spans="1:1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1237</v>
      </c>
      <c r="L806" t="s">
        <v>15</v>
      </c>
      <c r="M806" t="str">
        <f t="shared" si="12"/>
        <v>Adult</v>
      </c>
    </row>
    <row r="807" spans="1:1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1237</v>
      </c>
      <c r="L807" t="s">
        <v>15</v>
      </c>
      <c r="M807" t="str">
        <f t="shared" si="12"/>
        <v>Adult</v>
      </c>
    </row>
    <row r="808" spans="1:1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  <c r="M808" t="str">
        <f t="shared" si="12"/>
        <v>Adult</v>
      </c>
    </row>
    <row r="809" spans="1:1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1237</v>
      </c>
      <c r="L809" t="s">
        <v>15</v>
      </c>
      <c r="M809" t="str">
        <f t="shared" si="12"/>
        <v>Teenager</v>
      </c>
    </row>
    <row r="810" spans="1:1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1237</v>
      </c>
      <c r="L810" t="s">
        <v>15</v>
      </c>
      <c r="M810" t="str">
        <f t="shared" si="12"/>
        <v>Adult</v>
      </c>
    </row>
    <row r="811" spans="1:1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  <c r="M811" t="str">
        <f t="shared" si="12"/>
        <v>Adult</v>
      </c>
    </row>
    <row r="812" spans="1:1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1237</v>
      </c>
      <c r="L812" t="s">
        <v>15</v>
      </c>
      <c r="M812" t="str">
        <f t="shared" si="12"/>
        <v>Adult</v>
      </c>
    </row>
    <row r="813" spans="1:1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K813" t="s">
        <v>1237</v>
      </c>
      <c r="L813" t="s">
        <v>15</v>
      </c>
      <c r="M813" t="str">
        <f t="shared" si="12"/>
        <v>Adult</v>
      </c>
    </row>
    <row r="814" spans="1:1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1237</v>
      </c>
      <c r="L814" t="s">
        <v>15</v>
      </c>
      <c r="M814" t="str">
        <f t="shared" si="12"/>
        <v>Adult</v>
      </c>
    </row>
    <row r="815" spans="1:1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1237</v>
      </c>
      <c r="L815" t="s">
        <v>15</v>
      </c>
      <c r="M815" t="str">
        <f t="shared" si="12"/>
        <v>Child</v>
      </c>
    </row>
    <row r="816" spans="1:1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1237</v>
      </c>
      <c r="L816" t="s">
        <v>15</v>
      </c>
      <c r="M816" t="str">
        <f t="shared" si="12"/>
        <v>Adult</v>
      </c>
    </row>
    <row r="817" spans="1:13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  <c r="M817" t="str">
        <f t="shared" si="12"/>
        <v>Adult</v>
      </c>
    </row>
    <row r="818" spans="1:1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K818" t="s">
        <v>1237</v>
      </c>
      <c r="L818" t="s">
        <v>15</v>
      </c>
      <c r="M818" t="str">
        <f t="shared" si="12"/>
        <v>Adult</v>
      </c>
    </row>
    <row r="819" spans="1:1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K819" t="s">
        <v>1237</v>
      </c>
      <c r="L819" t="s">
        <v>20</v>
      </c>
      <c r="M819" t="str">
        <f t="shared" si="12"/>
        <v>Adult</v>
      </c>
    </row>
    <row r="820" spans="1:1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K820" t="s">
        <v>1237</v>
      </c>
      <c r="L820" t="s">
        <v>15</v>
      </c>
      <c r="M820" t="str">
        <f t="shared" si="12"/>
        <v>Middle Age</v>
      </c>
    </row>
    <row r="821" spans="1:1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1237</v>
      </c>
      <c r="L821" t="s">
        <v>15</v>
      </c>
      <c r="M821" t="str">
        <f t="shared" si="12"/>
        <v>Child</v>
      </c>
    </row>
    <row r="822" spans="1:1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  <c r="M822" t="str">
        <f t="shared" si="12"/>
        <v>Middle Age</v>
      </c>
    </row>
    <row r="823" spans="1:1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1237</v>
      </c>
      <c r="L823" t="s">
        <v>15</v>
      </c>
      <c r="M823" t="str">
        <f t="shared" si="12"/>
        <v>Adult</v>
      </c>
    </row>
    <row r="824" spans="1:1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1237</v>
      </c>
      <c r="L824" t="s">
        <v>15</v>
      </c>
      <c r="M824" t="str">
        <f t="shared" si="12"/>
        <v>Adult</v>
      </c>
    </row>
    <row r="825" spans="1:1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  <c r="M825" t="str">
        <f t="shared" si="12"/>
        <v>Adult</v>
      </c>
    </row>
    <row r="826" spans="1:1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1237</v>
      </c>
      <c r="L826" t="s">
        <v>15</v>
      </c>
      <c r="M826" t="str">
        <f t="shared" si="12"/>
        <v>Child</v>
      </c>
    </row>
    <row r="827" spans="1:13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28</v>
      </c>
      <c r="G827">
        <v>0</v>
      </c>
      <c r="H827">
        <v>0</v>
      </c>
      <c r="I827">
        <v>368323</v>
      </c>
      <c r="J827">
        <v>6.95</v>
      </c>
      <c r="K827" t="s">
        <v>1237</v>
      </c>
      <c r="L827" t="s">
        <v>27</v>
      </c>
      <c r="M827" t="str">
        <f t="shared" si="12"/>
        <v>Adult</v>
      </c>
    </row>
    <row r="828" spans="1:13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K828" t="s">
        <v>1237</v>
      </c>
      <c r="L828" t="s">
        <v>15</v>
      </c>
      <c r="M828" t="str">
        <f t="shared" si="12"/>
        <v>Adult</v>
      </c>
    </row>
    <row r="829" spans="1:1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K829" t="s">
        <v>1237</v>
      </c>
      <c r="L829" t="s">
        <v>20</v>
      </c>
      <c r="M829" t="str">
        <f t="shared" si="12"/>
        <v>Child</v>
      </c>
    </row>
    <row r="830" spans="1:13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28</v>
      </c>
      <c r="G830">
        <v>0</v>
      </c>
      <c r="H830">
        <v>0</v>
      </c>
      <c r="I830">
        <v>367228</v>
      </c>
      <c r="J830">
        <v>7.75</v>
      </c>
      <c r="K830" t="s">
        <v>1237</v>
      </c>
      <c r="L830" t="s">
        <v>27</v>
      </c>
      <c r="M830" t="str">
        <f t="shared" si="12"/>
        <v>Adult</v>
      </c>
    </row>
    <row r="831" spans="1:1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  <c r="L831" t="s">
        <v>1238</v>
      </c>
      <c r="M831" t="str">
        <f t="shared" si="12"/>
        <v>Senior</v>
      </c>
    </row>
    <row r="832" spans="1:1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1237</v>
      </c>
      <c r="L832" t="s">
        <v>20</v>
      </c>
      <c r="M832" t="str">
        <f t="shared" si="12"/>
        <v>Teenager</v>
      </c>
    </row>
    <row r="833" spans="1:1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1237</v>
      </c>
      <c r="L833" t="s">
        <v>15</v>
      </c>
      <c r="M833" t="str">
        <f t="shared" si="12"/>
        <v>Child</v>
      </c>
    </row>
    <row r="834" spans="1:13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K834" t="s">
        <v>1237</v>
      </c>
      <c r="L834" t="s">
        <v>20</v>
      </c>
      <c r="M834" t="str">
        <f t="shared" ref="M834:M892" si="13">IF(F834&lt;13,"Child",IF(F834&lt;20,"Teenager",IF(F834&lt;40,"Adult",IF(F834&lt;60,"Middle Age","Senior"))))</f>
        <v>Adult</v>
      </c>
    </row>
    <row r="835" spans="1:1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1237</v>
      </c>
      <c r="L835" t="s">
        <v>15</v>
      </c>
      <c r="M835" t="str">
        <f t="shared" si="13"/>
        <v>Adult</v>
      </c>
    </row>
    <row r="836" spans="1:1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1237</v>
      </c>
      <c r="L836" t="s">
        <v>15</v>
      </c>
      <c r="M836" t="str">
        <f t="shared" si="13"/>
        <v>Teenager</v>
      </c>
    </row>
    <row r="837" spans="1:1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  <c r="M837" t="str">
        <f t="shared" si="13"/>
        <v>Adult</v>
      </c>
    </row>
    <row r="838" spans="1:1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1237</v>
      </c>
      <c r="L838" t="s">
        <v>15</v>
      </c>
      <c r="M838" t="str">
        <f t="shared" si="13"/>
        <v>Adult</v>
      </c>
    </row>
    <row r="839" spans="1:13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K839" t="s">
        <v>1237</v>
      </c>
      <c r="L839" t="s">
        <v>15</v>
      </c>
      <c r="M839" t="str">
        <f t="shared" si="13"/>
        <v>Adult</v>
      </c>
    </row>
    <row r="840" spans="1:1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1237</v>
      </c>
      <c r="L840" t="s">
        <v>15</v>
      </c>
      <c r="M840" t="str">
        <f t="shared" si="13"/>
        <v>Adult</v>
      </c>
    </row>
    <row r="841" spans="1:13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  <c r="M841" t="str">
        <f t="shared" si="13"/>
        <v>Adult</v>
      </c>
    </row>
    <row r="842" spans="1:1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K842" t="s">
        <v>1237</v>
      </c>
      <c r="L842" t="s">
        <v>15</v>
      </c>
      <c r="M842" t="str">
        <f t="shared" si="13"/>
        <v>Adult</v>
      </c>
    </row>
    <row r="843" spans="1:1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K843" t="s">
        <v>1237</v>
      </c>
      <c r="L843" t="s">
        <v>15</v>
      </c>
      <c r="M843" t="str">
        <f t="shared" si="13"/>
        <v>Teenager</v>
      </c>
    </row>
    <row r="844" spans="1:1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1237</v>
      </c>
      <c r="L844" t="s">
        <v>20</v>
      </c>
      <c r="M844" t="str">
        <f t="shared" si="13"/>
        <v>Adult</v>
      </c>
    </row>
    <row r="845" spans="1:1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1237</v>
      </c>
      <c r="L845" t="s">
        <v>20</v>
      </c>
      <c r="M845" t="str">
        <f t="shared" si="13"/>
        <v>Adult</v>
      </c>
    </row>
    <row r="846" spans="1:1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1237</v>
      </c>
      <c r="L846" t="s">
        <v>15</v>
      </c>
      <c r="M846" t="str">
        <f t="shared" si="13"/>
        <v>Teenager</v>
      </c>
    </row>
    <row r="847" spans="1:1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K847" t="s">
        <v>1237</v>
      </c>
      <c r="L847" t="s">
        <v>15</v>
      </c>
      <c r="M847" t="str">
        <f t="shared" si="13"/>
        <v>Middle Age</v>
      </c>
    </row>
    <row r="848" spans="1:13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28</v>
      </c>
      <c r="G848">
        <v>8</v>
      </c>
      <c r="H848">
        <v>2</v>
      </c>
      <c r="I848" t="s">
        <v>251</v>
      </c>
      <c r="J848">
        <v>69.55</v>
      </c>
      <c r="K848" t="s">
        <v>1237</v>
      </c>
      <c r="L848" t="s">
        <v>15</v>
      </c>
      <c r="M848" t="str">
        <f t="shared" si="13"/>
        <v>Adult</v>
      </c>
    </row>
    <row r="849" spans="1:1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1237</v>
      </c>
      <c r="L849" t="s">
        <v>20</v>
      </c>
      <c r="M849" t="str">
        <f t="shared" si="13"/>
        <v>Adult</v>
      </c>
    </row>
    <row r="850" spans="1:1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1237</v>
      </c>
      <c r="L850" t="s">
        <v>15</v>
      </c>
      <c r="M850" t="str">
        <f t="shared" si="13"/>
        <v>Adult</v>
      </c>
    </row>
    <row r="851" spans="1:13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  <c r="M851" t="str">
        <f t="shared" si="13"/>
        <v>Adult</v>
      </c>
    </row>
    <row r="852" spans="1:1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1237</v>
      </c>
      <c r="L852" t="s">
        <v>15</v>
      </c>
      <c r="M852" t="str">
        <f t="shared" si="13"/>
        <v>Child</v>
      </c>
    </row>
    <row r="853" spans="1:1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1237</v>
      </c>
      <c r="L853" t="s">
        <v>15</v>
      </c>
      <c r="M853" t="str">
        <f t="shared" si="13"/>
        <v>Senior</v>
      </c>
    </row>
    <row r="854" spans="1:1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1237</v>
      </c>
      <c r="L854" t="s">
        <v>20</v>
      </c>
      <c r="M854" t="str">
        <f t="shared" si="13"/>
        <v>Child</v>
      </c>
    </row>
    <row r="855" spans="1:1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  <c r="M855" t="str">
        <f t="shared" si="13"/>
        <v>Teenager</v>
      </c>
    </row>
    <row r="856" spans="1:1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1237</v>
      </c>
      <c r="L856" t="s">
        <v>15</v>
      </c>
      <c r="M856" t="str">
        <f t="shared" si="13"/>
        <v>Middle Age</v>
      </c>
    </row>
    <row r="857" spans="1:1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1237</v>
      </c>
      <c r="L857" t="s">
        <v>15</v>
      </c>
      <c r="M857" t="str">
        <f t="shared" si="13"/>
        <v>Teenager</v>
      </c>
    </row>
    <row r="858" spans="1:1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1237</v>
      </c>
      <c r="L858" t="s">
        <v>15</v>
      </c>
      <c r="M858" t="str">
        <f t="shared" si="13"/>
        <v>Middle Age</v>
      </c>
    </row>
    <row r="859" spans="1:1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  <c r="M859" t="str">
        <f t="shared" si="13"/>
        <v>Middle Age</v>
      </c>
    </row>
    <row r="860" spans="1:1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1237</v>
      </c>
      <c r="L860" t="s">
        <v>20</v>
      </c>
      <c r="M860" t="str">
        <f t="shared" si="13"/>
        <v>Adult</v>
      </c>
    </row>
    <row r="861" spans="1:13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K861" t="s">
        <v>1237</v>
      </c>
      <c r="L861" t="s">
        <v>20</v>
      </c>
      <c r="M861" t="str">
        <f t="shared" si="13"/>
        <v>Adult</v>
      </c>
    </row>
    <row r="862" spans="1:1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1237</v>
      </c>
      <c r="L862" t="s">
        <v>15</v>
      </c>
      <c r="M862" t="str">
        <f t="shared" si="13"/>
        <v>Middle Age</v>
      </c>
    </row>
    <row r="863" spans="1:1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1237</v>
      </c>
      <c r="L863" t="s">
        <v>15</v>
      </c>
      <c r="M863" t="str">
        <f t="shared" si="13"/>
        <v>Adult</v>
      </c>
    </row>
    <row r="864" spans="1:1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  <c r="M864" t="str">
        <f t="shared" si="13"/>
        <v>Middle Age</v>
      </c>
    </row>
    <row r="865" spans="1:13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28</v>
      </c>
      <c r="G865">
        <v>8</v>
      </c>
      <c r="H865">
        <v>2</v>
      </c>
      <c r="I865" t="s">
        <v>251</v>
      </c>
      <c r="J865">
        <v>69.55</v>
      </c>
      <c r="K865" t="s">
        <v>1237</v>
      </c>
      <c r="L865" t="s">
        <v>15</v>
      </c>
      <c r="M865" t="str">
        <f t="shared" si="13"/>
        <v>Adult</v>
      </c>
    </row>
    <row r="866" spans="1:1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1237</v>
      </c>
      <c r="L866" t="s">
        <v>15</v>
      </c>
      <c r="M866" t="str">
        <f t="shared" si="13"/>
        <v>Adult</v>
      </c>
    </row>
    <row r="867" spans="1:1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1237</v>
      </c>
      <c r="L867" t="s">
        <v>15</v>
      </c>
      <c r="M867" t="str">
        <f t="shared" si="13"/>
        <v>Middle Age</v>
      </c>
    </row>
    <row r="868" spans="1:1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K868" t="s">
        <v>1237</v>
      </c>
      <c r="L868" t="s">
        <v>20</v>
      </c>
      <c r="M868" t="str">
        <f t="shared" si="13"/>
        <v>Adult</v>
      </c>
    </row>
    <row r="869" spans="1:1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  <c r="M869" t="str">
        <f t="shared" si="13"/>
        <v>Adult</v>
      </c>
    </row>
    <row r="870" spans="1:13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28</v>
      </c>
      <c r="G870">
        <v>0</v>
      </c>
      <c r="H870">
        <v>0</v>
      </c>
      <c r="I870">
        <v>345777</v>
      </c>
      <c r="J870">
        <v>9.5</v>
      </c>
      <c r="K870" t="s">
        <v>1237</v>
      </c>
      <c r="L870" t="s">
        <v>15</v>
      </c>
      <c r="M870" t="str">
        <f t="shared" si="13"/>
        <v>Adult</v>
      </c>
    </row>
    <row r="871" spans="1:1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1237</v>
      </c>
      <c r="L871" t="s">
        <v>15</v>
      </c>
      <c r="M871" t="str">
        <f t="shared" si="13"/>
        <v>Child</v>
      </c>
    </row>
    <row r="872" spans="1:1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1237</v>
      </c>
      <c r="L872" t="s">
        <v>15</v>
      </c>
      <c r="M872" t="str">
        <f t="shared" si="13"/>
        <v>Adult</v>
      </c>
    </row>
    <row r="873" spans="1:1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  <c r="M873" t="str">
        <f t="shared" si="13"/>
        <v>Middle Age</v>
      </c>
    </row>
    <row r="874" spans="1:1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  <c r="M874" t="str">
        <f t="shared" si="13"/>
        <v>Adult</v>
      </c>
    </row>
    <row r="875" spans="1:1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1237</v>
      </c>
      <c r="L875" t="s">
        <v>15</v>
      </c>
      <c r="M875" t="str">
        <f t="shared" si="13"/>
        <v>Middle Age</v>
      </c>
    </row>
    <row r="876" spans="1:1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K876" t="s">
        <v>1237</v>
      </c>
      <c r="L876" t="s">
        <v>20</v>
      </c>
      <c r="M876" t="str">
        <f t="shared" si="13"/>
        <v>Adult</v>
      </c>
    </row>
    <row r="877" spans="1:1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1237</v>
      </c>
      <c r="L877" t="s">
        <v>20</v>
      </c>
      <c r="M877" t="str">
        <f t="shared" si="13"/>
        <v>Teenager</v>
      </c>
    </row>
    <row r="878" spans="1:1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1237</v>
      </c>
      <c r="L878" t="s">
        <v>15</v>
      </c>
      <c r="M878" t="str">
        <f t="shared" si="13"/>
        <v>Adult</v>
      </c>
    </row>
    <row r="879" spans="1:1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1237</v>
      </c>
      <c r="L879" t="s">
        <v>15</v>
      </c>
      <c r="M879" t="str">
        <f t="shared" si="13"/>
        <v>Teenager</v>
      </c>
    </row>
    <row r="880" spans="1:13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K880" t="s">
        <v>1237</v>
      </c>
      <c r="L880" t="s">
        <v>15</v>
      </c>
      <c r="M880" t="str">
        <f t="shared" si="13"/>
        <v>Adult</v>
      </c>
    </row>
    <row r="881" spans="1:1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  <c r="M881" t="str">
        <f t="shared" si="13"/>
        <v>Middle Age</v>
      </c>
    </row>
    <row r="882" spans="1:1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1237</v>
      </c>
      <c r="L882" t="s">
        <v>15</v>
      </c>
      <c r="M882" t="str">
        <f t="shared" si="13"/>
        <v>Adult</v>
      </c>
    </row>
    <row r="883" spans="1:1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1237</v>
      </c>
      <c r="L883" t="s">
        <v>15</v>
      </c>
      <c r="M883" t="str">
        <f t="shared" si="13"/>
        <v>Adult</v>
      </c>
    </row>
    <row r="884" spans="1:1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1237</v>
      </c>
      <c r="L884" t="s">
        <v>15</v>
      </c>
      <c r="M884" t="str">
        <f t="shared" si="13"/>
        <v>Adult</v>
      </c>
    </row>
    <row r="885" spans="1:1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K885" t="s">
        <v>1237</v>
      </c>
      <c r="L885" t="s">
        <v>15</v>
      </c>
      <c r="M885" t="str">
        <f t="shared" si="13"/>
        <v>Adult</v>
      </c>
    </row>
    <row r="886" spans="1:1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K886" t="s">
        <v>1237</v>
      </c>
      <c r="L886" t="s">
        <v>15</v>
      </c>
      <c r="M886" t="str">
        <f t="shared" si="13"/>
        <v>Adult</v>
      </c>
    </row>
    <row r="887" spans="1:1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1237</v>
      </c>
      <c r="L887" t="s">
        <v>27</v>
      </c>
      <c r="M887" t="str">
        <f t="shared" si="13"/>
        <v>Adult</v>
      </c>
    </row>
    <row r="888" spans="1:1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1237</v>
      </c>
      <c r="L888" t="s">
        <v>15</v>
      </c>
      <c r="M888" t="str">
        <f t="shared" si="13"/>
        <v>Adult</v>
      </c>
    </row>
    <row r="889" spans="1:1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  <c r="M889" t="str">
        <f t="shared" si="13"/>
        <v>Teenager</v>
      </c>
    </row>
    <row r="890" spans="1:13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28</v>
      </c>
      <c r="G890">
        <v>1</v>
      </c>
      <c r="H890">
        <v>2</v>
      </c>
      <c r="I890" t="s">
        <v>1088</v>
      </c>
      <c r="J890">
        <v>23.45</v>
      </c>
      <c r="K890" t="s">
        <v>1237</v>
      </c>
      <c r="L890" t="s">
        <v>15</v>
      </c>
      <c r="M890" t="str">
        <f t="shared" si="13"/>
        <v>Adult</v>
      </c>
    </row>
    <row r="891" spans="1:1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  <c r="M891" t="str">
        <f t="shared" si="13"/>
        <v>Adult</v>
      </c>
    </row>
    <row r="892" spans="1:1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1237</v>
      </c>
      <c r="L892" t="s">
        <v>27</v>
      </c>
      <c r="M892" t="str">
        <f t="shared" si="13"/>
        <v>Adult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D9AE-ED79-4BB2-8AA4-1B987FF49FE9}">
  <dimension ref="A1:G26"/>
  <sheetViews>
    <sheetView workbookViewId="0">
      <selection activeCell="D21" sqref="D21"/>
    </sheetView>
  </sheetViews>
  <sheetFormatPr defaultRowHeight="14.4"/>
  <cols>
    <col min="1" max="1" width="21.5546875" customWidth="1"/>
    <col min="2" max="2" width="19.33203125" customWidth="1"/>
    <col min="4" max="4" width="14.109375" customWidth="1"/>
    <col min="5" max="5" width="14.44140625" customWidth="1"/>
    <col min="6" max="6" width="14.77734375" customWidth="1"/>
    <col min="7" max="7" width="16.21875" customWidth="1"/>
  </cols>
  <sheetData>
    <row r="1" spans="1:7">
      <c r="A1" s="1" t="s">
        <v>1222</v>
      </c>
      <c r="B1" s="1" t="s">
        <v>1223</v>
      </c>
      <c r="D1" s="5" t="s">
        <v>1239</v>
      </c>
      <c r="E1" s="5" t="s">
        <v>1240</v>
      </c>
      <c r="F1" s="5" t="s">
        <v>1241</v>
      </c>
      <c r="G1" s="5" t="s">
        <v>1242</v>
      </c>
    </row>
    <row r="2" spans="1:7">
      <c r="A2" s="3" t="s">
        <v>1224</v>
      </c>
      <c r="B2" s="3" t="s">
        <v>1225</v>
      </c>
      <c r="D2">
        <f>MIN(train!F2:F892)</f>
        <v>0.42</v>
      </c>
      <c r="E2">
        <f>MAX(train!F2:F892)</f>
        <v>80</v>
      </c>
      <c r="F2">
        <f>MIN(train!J2:J892)</f>
        <v>0</v>
      </c>
      <c r="G2">
        <f>MAX(train!J2:J892)</f>
        <v>512.32920000000001</v>
      </c>
    </row>
    <row r="3" spans="1:7">
      <c r="A3" s="3" t="s">
        <v>0</v>
      </c>
      <c r="B3">
        <f>COUNTBLANK(train!A2:A892)</f>
        <v>0</v>
      </c>
    </row>
    <row r="4" spans="1:7">
      <c r="A4" s="3" t="s">
        <v>1</v>
      </c>
      <c r="B4">
        <f>COUNTBLANK(train!B2:B892)</f>
        <v>0</v>
      </c>
    </row>
    <row r="5" spans="1:7">
      <c r="A5" s="3" t="s">
        <v>2</v>
      </c>
      <c r="B5">
        <f>COUNTBLANK(train!C2:C892)</f>
        <v>0</v>
      </c>
    </row>
    <row r="6" spans="1:7">
      <c r="A6" s="3" t="s">
        <v>3</v>
      </c>
      <c r="B6" s="2">
        <f>COUNTBLANK(train!F2:F892)</f>
        <v>0</v>
      </c>
    </row>
    <row r="7" spans="1:7">
      <c r="A7" s="3" t="s">
        <v>4</v>
      </c>
      <c r="B7">
        <v>0</v>
      </c>
    </row>
    <row r="8" spans="1:7">
      <c r="A8" s="5" t="s">
        <v>5</v>
      </c>
      <c r="B8">
        <f>COUNTBLANK(train!F2:F892)</f>
        <v>0</v>
      </c>
      <c r="E8" s="1" t="s">
        <v>1226</v>
      </c>
      <c r="F8" s="1" t="s">
        <v>1243</v>
      </c>
      <c r="G8" s="7" t="s">
        <v>1244</v>
      </c>
    </row>
    <row r="9" spans="1:7">
      <c r="A9" s="3" t="s">
        <v>6</v>
      </c>
      <c r="B9">
        <f>COUNTBLANK(train!G2:G892)</f>
        <v>0</v>
      </c>
      <c r="E9" s="2" t="s">
        <v>1245</v>
      </c>
      <c r="F9" s="6">
        <f>COUNTBLANK(train!F2:F892)</f>
        <v>0</v>
      </c>
      <c r="G9" s="7">
        <v>0</v>
      </c>
    </row>
    <row r="10" spans="1:7">
      <c r="A10" s="3" t="s">
        <v>7</v>
      </c>
      <c r="B10">
        <f>COUNTBLANK(train!H2:H892)</f>
        <v>0</v>
      </c>
      <c r="E10" s="2" t="s">
        <v>1246</v>
      </c>
      <c r="F10" s="6">
        <f>COUNTBLANK(train!K2:K892)</f>
        <v>0</v>
      </c>
      <c r="G10" s="7">
        <v>0</v>
      </c>
    </row>
    <row r="11" spans="1:7" ht="28.8">
      <c r="A11" s="3" t="s">
        <v>8</v>
      </c>
      <c r="B11">
        <f>COUNTBLANK(train!I2:I892)</f>
        <v>0</v>
      </c>
      <c r="E11" s="2" t="s">
        <v>1247</v>
      </c>
      <c r="F11" s="6">
        <f>COUNTBLANK(train!L2:L892)</f>
        <v>0</v>
      </c>
      <c r="G11" s="7">
        <v>0</v>
      </c>
    </row>
    <row r="12" spans="1:7">
      <c r="A12" s="3" t="s">
        <v>9</v>
      </c>
      <c r="B12">
        <f>COUNTBLANK(train!J2:J892)</f>
        <v>0</v>
      </c>
    </row>
    <row r="13" spans="1:7">
      <c r="A13" s="3" t="s">
        <v>10</v>
      </c>
      <c r="B13">
        <f>COUNTBLANK(train!K2:K892)</f>
        <v>0</v>
      </c>
    </row>
    <row r="14" spans="1:7">
      <c r="A14" s="3" t="s">
        <v>11</v>
      </c>
      <c r="B14">
        <f>COUNTBLANK(train!L2:L892)</f>
        <v>0</v>
      </c>
    </row>
    <row r="15" spans="1:7">
      <c r="A15" s="5" t="s">
        <v>1228</v>
      </c>
      <c r="B15" s="4" t="s">
        <v>1229</v>
      </c>
    </row>
    <row r="16" spans="1:7">
      <c r="A16" s="2"/>
      <c r="B16" s="3"/>
    </row>
    <row r="21" spans="1:2">
      <c r="A21" s="1" t="s">
        <v>1226</v>
      </c>
      <c r="B21" s="1" t="s">
        <v>1227</v>
      </c>
    </row>
    <row r="22" spans="1:2">
      <c r="A22" s="2" t="s">
        <v>1228</v>
      </c>
      <c r="B22" s="2" t="s">
        <v>1229</v>
      </c>
    </row>
    <row r="23" spans="1:2">
      <c r="A23" s="2" t="s">
        <v>1230</v>
      </c>
      <c r="B23" s="6" t="s">
        <v>1231</v>
      </c>
    </row>
    <row r="24" spans="1:2">
      <c r="A24" s="2" t="s">
        <v>1232</v>
      </c>
      <c r="B24" s="6" t="s">
        <v>1248</v>
      </c>
    </row>
    <row r="25" spans="1:2">
      <c r="A25" s="2" t="s">
        <v>1233</v>
      </c>
      <c r="B25" s="6" t="s">
        <v>1234</v>
      </c>
    </row>
    <row r="26" spans="1:2">
      <c r="A26" s="2" t="s">
        <v>1235</v>
      </c>
      <c r="B26" s="6" t="s">
        <v>1236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7680-9DD7-4601-825E-0C3A396A2094}">
  <dimension ref="A1:C29"/>
  <sheetViews>
    <sheetView tabSelected="1" zoomScale="79" zoomScaleNormal="79" workbookViewId="0">
      <selection activeCell="U22" sqref="U22"/>
    </sheetView>
  </sheetViews>
  <sheetFormatPr defaultRowHeight="14.4"/>
  <cols>
    <col min="1" max="1" width="37.21875" customWidth="1"/>
    <col min="2" max="2" width="24.21875" customWidth="1"/>
  </cols>
  <sheetData>
    <row r="1" spans="1:3" ht="23.4">
      <c r="A1" s="20" t="s">
        <v>1249</v>
      </c>
      <c r="B1" s="20" t="s">
        <v>1250</v>
      </c>
      <c r="C1" s="21" t="s">
        <v>1276</v>
      </c>
    </row>
    <row r="2" spans="1:3">
      <c r="A2" s="4"/>
      <c r="B2" s="22"/>
    </row>
    <row r="3" spans="1:3" ht="21">
      <c r="A3" s="18" t="s">
        <v>1251</v>
      </c>
      <c r="B3" s="19" t="s">
        <v>1252</v>
      </c>
    </row>
    <row r="4" spans="1:3">
      <c r="A4" s="8" t="s">
        <v>1253</v>
      </c>
      <c r="B4" s="9">
        <f>COUNTA(train!A2:A892)</f>
        <v>891</v>
      </c>
    </row>
    <row r="5" spans="1:3">
      <c r="A5" s="8" t="s">
        <v>1254</v>
      </c>
      <c r="B5" s="9">
        <f>COUNTIF(train!B2:B892,1)</f>
        <v>342</v>
      </c>
    </row>
    <row r="6" spans="1:3">
      <c r="A6" s="8" t="s">
        <v>1255</v>
      </c>
      <c r="B6" s="11">
        <f>B5/B4</f>
        <v>0.38383838383838381</v>
      </c>
    </row>
    <row r="7" spans="1:3">
      <c r="A7" s="8" t="s">
        <v>1256</v>
      </c>
      <c r="B7" s="12">
        <f>AVERAGE(train!F2:F892)</f>
        <v>29.390763187429851</v>
      </c>
    </row>
    <row r="8" spans="1:3">
      <c r="A8" s="8" t="s">
        <v>1257</v>
      </c>
      <c r="B8" s="13">
        <f>AVERAGE(train!J2:J892)</f>
        <v>32.2042079685746</v>
      </c>
    </row>
    <row r="9" spans="1:3">
      <c r="A9" s="4"/>
      <c r="B9" s="9"/>
    </row>
    <row r="10" spans="1:3">
      <c r="A10" s="8"/>
      <c r="B10" s="8"/>
    </row>
    <row r="11" spans="1:3">
      <c r="A11" s="8" t="s">
        <v>1263</v>
      </c>
      <c r="B11" s="8"/>
    </row>
    <row r="12" spans="1:3">
      <c r="A12" s="17" t="s">
        <v>1264</v>
      </c>
      <c r="B12" s="8"/>
    </row>
    <row r="13" spans="1:3">
      <c r="A13" s="8" t="s">
        <v>1265</v>
      </c>
      <c r="B13" s="8">
        <f>COUNTIF(train!M:M,"Child")</f>
        <v>68</v>
      </c>
    </row>
    <row r="14" spans="1:3">
      <c r="A14" s="8" t="s">
        <v>1266</v>
      </c>
      <c r="B14" s="8">
        <f>COUNTIF(train!M:M,"Teenager")</f>
        <v>95</v>
      </c>
    </row>
    <row r="15" spans="1:3">
      <c r="A15" s="8" t="s">
        <v>1267</v>
      </c>
      <c r="B15" s="8">
        <f>COUNTIF(train!M:M,"Adult")</f>
        <v>565</v>
      </c>
    </row>
    <row r="16" spans="1:3">
      <c r="A16" s="8" t="s">
        <v>1268</v>
      </c>
      <c r="B16" s="8">
        <f>COUNTIF(train!M:M,"Middle Age")</f>
        <v>137</v>
      </c>
    </row>
    <row r="17" spans="1:2">
      <c r="A17" s="8" t="s">
        <v>1269</v>
      </c>
      <c r="B17" s="8">
        <f>COUNTIF(train!M:M,"Senior")</f>
        <v>26</v>
      </c>
    </row>
    <row r="18" spans="1:2">
      <c r="A18" s="8"/>
      <c r="B18" s="8"/>
    </row>
    <row r="19" spans="1:2" ht="21">
      <c r="A19" s="18" t="s">
        <v>1270</v>
      </c>
      <c r="B19" s="18" t="s">
        <v>1257</v>
      </c>
    </row>
    <row r="20" spans="1:2">
      <c r="A20" s="8">
        <v>1</v>
      </c>
      <c r="B20" s="8">
        <f>AVERAGEIF(train!C:C,A20,train!J:J)</f>
        <v>84.154687499999923</v>
      </c>
    </row>
    <row r="21" spans="1:2">
      <c r="A21" s="8">
        <v>2</v>
      </c>
      <c r="B21" s="8">
        <f>AVERAGEIF(train!C:C,A21,train!J:J)</f>
        <v>20.66218315217391</v>
      </c>
    </row>
    <row r="22" spans="1:2">
      <c r="A22" s="8">
        <v>3</v>
      </c>
      <c r="B22" s="8">
        <f>AVERAGEIF(train!C:C,A22,train!J:J)</f>
        <v>13.675550101832997</v>
      </c>
    </row>
    <row r="25" spans="1:2" ht="21">
      <c r="A25" s="16" t="s">
        <v>1271</v>
      </c>
    </row>
    <row r="26" spans="1:2" ht="28.8">
      <c r="A26" s="15" t="s">
        <v>1272</v>
      </c>
    </row>
    <row r="27" spans="1:2" ht="43.2">
      <c r="A27" s="15" t="s">
        <v>1273</v>
      </c>
    </row>
    <row r="28" spans="1:2" ht="28.8">
      <c r="A28" s="15" t="s">
        <v>1274</v>
      </c>
    </row>
    <row r="29" spans="1:2" ht="28.8">
      <c r="A29" s="15" t="s">
        <v>1275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train</vt:lpstr>
      <vt:lpstr>Data Quality Check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Challagundla Mahendra</dc:creator>
  <cp:lastModifiedBy>Challagundla Mahendra</cp:lastModifiedBy>
  <dcterms:created xsi:type="dcterms:W3CDTF">2026-09-21T15:19:39Z</dcterms:created>
  <dcterms:modified xsi:type="dcterms:W3CDTF">2026-09-24T15:43:26Z</dcterms:modified>
</cp:coreProperties>
</file>