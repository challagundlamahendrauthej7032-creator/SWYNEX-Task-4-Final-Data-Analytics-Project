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hmah\Downloads\archive (3)\swynex tech internl\"/>
    </mc:Choice>
  </mc:AlternateContent>
  <xr:revisionPtr revIDLastSave="0" documentId="13_ncr:1_{615EC990-7B92-4524-B175-F01B769A2ACF}" xr6:coauthVersionLast="47" xr6:coauthVersionMax="47" xr10:uidLastSave="{00000000-0000-0000-0000-000000000000}"/>
  <bookViews>
    <workbookView xWindow="-108" yWindow="-108" windowWidth="23256" windowHeight="12456" xr2:uid="{C32D43DF-92FB-4889-91E8-026D559841DE}"/>
  </bookViews>
  <sheets>
    <sheet name="train" sheetId="1" r:id="rId1"/>
    <sheet name="Data Quality Check" sheetId="2" r:id="rId2"/>
  </sheets>
  <definedNames>
    <definedName name="_xlnm._FilterDatabase" localSheetId="0" hidden="1">train!$B$1:$B$892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F9" i="2"/>
  <c r="F10" i="2"/>
  <c r="F11" i="2"/>
  <c r="G2" i="2"/>
  <c r="F2" i="2"/>
  <c r="E2" i="2"/>
  <c r="D2" i="2"/>
  <c r="B14" i="2"/>
  <c r="B13" i="2"/>
  <c r="B12" i="2"/>
  <c r="B11" i="2"/>
  <c r="B10" i="2"/>
  <c r="B9" i="2"/>
  <c r="B8" i="2"/>
  <c r="B5" i="2"/>
  <c r="B4" i="2"/>
  <c r="B3" i="2"/>
  <c r="B6" i="2"/>
</calcChain>
</file>

<file path=xl/sharedStrings.xml><?xml version="1.0" encoding="utf-8"?>
<sst xmlns="http://schemas.openxmlformats.org/spreadsheetml/2006/main" count="3847" uniqueCount="1250">
  <si>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</si>
  <si>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</si>
  <si>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</si>
  <si>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</si>
  <si>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</si>
  <si>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</si>
  <si>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</si>
  <si>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</si>
  <si>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</si>
  <si>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</si>
  <si>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</si>
  <si>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</si>
  <si>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</si>
  <si>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</si>
  <si>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</si>
  <si>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</si>
  <si>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</si>
  <si>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</si>
  <si>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</si>
  <si>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</si>
  <si>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</si>
  <si>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</si>
  <si>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</si>
  <si>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</si>
  <si>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</si>
  <si>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</si>
  <si>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</si>
  <si>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</si>
  <si>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</si>
  <si>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</si>
  <si>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</si>
  <si>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</si>
  <si>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</si>
  <si>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</si>
  <si>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</si>
  <si>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</si>
  <si>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</si>
  <si>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</si>
  <si>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</si>
  <si>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</si>
  <si>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</si>
  <si>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</si>
  <si>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</si>
  <si>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</si>
  <si>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</si>
  <si>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</si>
  <si>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</si>
  <si>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</si>
  <si>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</si>
  <si>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</si>
  <si>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</si>
  <si>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</si>
  <si>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</si>
  <si>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</si>
  <si>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</si>
  <si>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</si>
  <si>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</si>
  <si>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</si>
  <si>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</si>
  <si>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</si>
  <si>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</si>
  <si>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</si>
  <si>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</si>
  <si>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</si>
  <si>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</si>
  <si>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</si>
  <si>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</si>
  <si>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</si>
  <si>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</si>
  <si>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</si>
  <si>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</si>
  <si>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</si>
  <si>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</si>
  <si>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</si>
  <si>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</si>
  <si>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</si>
  <si>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</si>
  <si>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</si>
  <si>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</si>
  <si>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</si>
  <si>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</si>
  <si>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</si>
  <si>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</si>
  <si>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</si>
  <si>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</si>
  <si>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</si>
  <si>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</si>
  <si>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</si>
  <si>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</si>
  <si>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</si>
  <si>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</si>
  <si>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</si>
  <si>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</si>
  <si>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</si>
  <si>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</si>
  <si>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</si>
  <si>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</si>
  <si>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</si>
  <si>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</si>
  <si>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</si>
  <si>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</si>
  <si>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</si>
  <si>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</si>
  <si>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</si>
  <si>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</si>
  <si>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</si>
  <si>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</si>
  <si>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</si>
  <si>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</si>
  <si>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</si>
  <si>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</si>
  <si>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</si>
  <si>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</si>
  <si>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</si>
  <si>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</si>
  <si>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</si>
  <si>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</si>
  <si>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</si>
  <si>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</si>
  <si>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</si>
  <si>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</si>
  <si>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</si>
  <si>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</si>
  <si>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</si>
  <si>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</si>
  <si>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</si>
  <si>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</si>
  <si>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</si>
  <si>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</si>
  <si>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</si>
  <si>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</si>
  <si>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</si>
  <si>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</si>
  <si>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</si>
  <si>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</si>
  <si>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</si>
  <si>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</si>
  <si>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</si>
  <si>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</si>
  <si>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</si>
  <si>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</si>
  <si>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</si>
  <si>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</si>
  <si>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</si>
  <si>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</si>
  <si>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</si>
  <si>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</si>
  <si>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</si>
  <si>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</si>
  <si>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</si>
  <si>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</si>
  <si>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</si>
  <si>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</si>
  <si>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</si>
  <si>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</si>
  <si>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</si>
  <si>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</si>
  <si>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</si>
  <si>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</si>
  <si>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</si>
  <si>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</si>
  <si>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</si>
  <si>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</si>
  <si>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</si>
  <si>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</si>
  <si>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</si>
  <si>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</si>
  <si>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</si>
  <si>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</si>
  <si>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</si>
  <si>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</si>
  <si>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</si>
  <si>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</si>
  <si>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</si>
  <si>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</si>
  <si>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</si>
  <si>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</si>
  <si>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</si>
  <si>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</si>
  <si>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</si>
  <si>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</si>
  <si>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</si>
  <si>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</si>
  <si>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</si>
  <si>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</si>
  <si>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</si>
  <si>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</si>
  <si>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</si>
  <si>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</si>
  <si>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</si>
  <si>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</si>
  <si>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</si>
  <si>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</si>
  <si>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</si>
  <si>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</si>
  <si>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</si>
  <si>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</si>
  <si>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</si>
  <si>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</si>
  <si>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</si>
  <si>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</si>
  <si>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</si>
  <si>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</si>
  <si>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</si>
  <si>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</si>
  <si>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</si>
  <si>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</si>
  <si>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</si>
  <si>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</si>
  <si>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</si>
  <si>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</si>
  <si>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</si>
  <si>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</si>
  <si>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</si>
  <si>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</si>
  <si>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</si>
  <si>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</si>
  <si>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</si>
  <si>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</si>
  <si>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</si>
  <si>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</si>
  <si>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</si>
  <si>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</si>
  <si>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</si>
  <si>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</si>
  <si>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</si>
  <si>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</si>
  <si>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</si>
  <si>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</si>
  <si>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</si>
  <si>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</si>
  <si>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</si>
  <si>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</si>
  <si>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</si>
  <si>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</si>
  <si>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</si>
  <si>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</si>
  <si>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</si>
  <si>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</si>
  <si>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</si>
  <si>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</si>
  <si>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</si>
  <si>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</si>
  <si>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</si>
  <si>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</si>
  <si>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</si>
  <si>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</si>
  <si>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</si>
  <si>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</si>
  <si>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</si>
  <si>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</si>
  <si>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</si>
  <si>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</si>
  <si>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</si>
  <si>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</si>
  <si>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</si>
  <si>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</si>
  <si>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</si>
  <si>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</si>
  <si>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</si>
  <si>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</si>
  <si>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</si>
  <si>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</si>
  <si>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</si>
  <si>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</si>
  <si>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</si>
  <si>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</si>
  <si>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</si>
  <si>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</si>
  <si>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</si>
  <si>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</si>
  <si>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</si>
  <si>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</si>
  <si>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</si>
  <si>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</si>
  <si>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</si>
  <si>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</si>
  <si>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</si>
  <si>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</si>
  <si>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</si>
  <si>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</si>
  <si>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</si>
  <si>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</si>
  <si>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</si>
  <si>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</si>
  <si>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</si>
  <si>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</si>
  <si>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</si>
  <si>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</si>
  <si>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</si>
  <si>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</si>
  <si>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</si>
  <si>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</si>
  <si>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</si>
  <si>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</si>
  <si>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</si>
  <si>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</si>
  <si>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</si>
  <si>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</si>
  <si>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</si>
  <si>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</si>
  <si>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</si>
  <si>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</si>
  <si>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</si>
  <si>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</si>
  <si>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</si>
  <si>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</si>
  <si>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</si>
  <si>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</si>
  <si>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</si>
  <si>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</si>
  <si>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</si>
  <si>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</si>
  <si>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</si>
  <si>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</si>
  <si>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</si>
  <si>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</si>
  <si>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</si>
  <si>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</si>
  <si>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</si>
  <si>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</si>
  <si>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</si>
  <si>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</si>
  <si>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</si>
  <si>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</si>
  <si>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</si>
  <si>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</si>
  <si>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</si>
  <si>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</si>
  <si>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</si>
  <si>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</si>
  <si>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</si>
  <si>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</si>
  <si>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</si>
  <si>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</si>
  <si>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</si>
  <si>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</si>
  <si>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</si>
  <si>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</si>
  <si>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</si>
  <si>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</si>
  <si>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</si>
  <si>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</si>
  <si>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</si>
  <si>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</si>
  <si>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</si>
  <si>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</si>
  <si>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</si>
  <si>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</si>
  <si>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</si>
  <si>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</si>
  <si>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</si>
  <si>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</si>
  <si>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</si>
  <si>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</si>
  <si>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</si>
  <si>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</si>
  <si>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</si>
  <si>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</si>
  <si>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</si>
  <si>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</si>
  <si>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</si>
  <si>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</si>
  <si>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</si>
  <si>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</si>
  <si>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</si>
  <si>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</si>
  <si>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</si>
  <si>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</si>
  <si>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</si>
  <si>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</si>
  <si>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</si>
  <si>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</si>
  <si>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</si>
  <si>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</si>
  <si>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</si>
  <si>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</si>
  <si>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</si>
  <si>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</si>
  <si>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</si>
  <si>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</si>
  <si>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</si>
  <si>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</si>
  <si>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</si>
  <si>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</si>
  <si>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</si>
  <si>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</si>
  <si>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</si>
  <si>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</si>
  <si>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</si>
  <si>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</si>
  <si>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</si>
  <si>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</si>
  <si>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</si>
  <si>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</si>
  <si>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</si>
  <si>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</si>
  <si>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</si>
  <si>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</si>
  <si>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</si>
  <si>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</si>
  <si>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</si>
  <si>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</si>
  <si>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</si>
  <si>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</si>
  <si>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</si>
  <si>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</si>
  <si>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</si>
  <si>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</si>
  <si>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</si>
  <si>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</si>
  <si>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</si>
  <si>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</si>
  <si>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</si>
  <si>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</si>
  <si>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</si>
  <si>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</si>
  <si>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</si>
  <si>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</si>
  <si>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</si>
  <si>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</si>
  <si>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</si>
  <si>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</si>
  <si>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</si>
  <si>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</si>
  <si>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</si>
  <si>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</si>
  <si>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</si>
  <si>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</si>
  <si>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</si>
  <si>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</si>
  <si>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</si>
  <si>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</si>
  <si>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</si>
  <si>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</si>
  <si>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</si>
  <si>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</si>
  <si>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</si>
  <si>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</si>
  <si>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</si>
  <si>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</si>
  <si>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</si>
  <si>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</si>
  <si>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</si>
  <si>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</si>
  <si>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</si>
  <si>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</si>
  <si>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</si>
  <si>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</si>
  <si>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</si>
  <si>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</si>
  <si>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</si>
  <si>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</si>
  <si>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</si>
  <si>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</si>
  <si>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</si>
  <si>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</si>
  <si>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</si>
  <si>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</si>
  <si>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</si>
  <si>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</si>
  <si>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</si>
  <si>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</si>
  <si>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</si>
  <si>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</si>
  <si>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</si>
  <si>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</si>
  <si>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</si>
  <si>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</si>
  <si>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</si>
  <si>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</si>
  <si>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</si>
  <si>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</si>
  <si>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</si>
  <si>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</si>
  <si>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</si>
  <si>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</si>
  <si>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</si>
  <si>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</si>
  <si>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</si>
  <si>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</si>
  <si>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</si>
  <si>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</si>
  <si>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</si>
  <si>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</si>
  <si>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</si>
  <si>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</si>
  <si>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</si>
  <si>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</si>
  <si>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</si>
  <si>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</si>
  <si>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</si>
  <si>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</si>
  <si>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</si>
  <si>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</si>
  <si>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</si>
  <si>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</si>
  <si>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</si>
  <si>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</si>
  <si>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</si>
  <si>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</si>
  <si>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</si>
  <si>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</si>
  <si>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</si>
  <si>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</si>
  <si>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</si>
  <si>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</si>
  <si>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</si>
  <si>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</si>
  <si>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</si>
  <si>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</si>
  <si>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</si>
  <si>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</si>
  <si>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</si>
  <si>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</si>
  <si>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</si>
  <si>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</si>
  <si>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</si>
  <si>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</si>
  <si>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</si>
  <si>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</si>
  <si>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</si>
  <si>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</si>
  <si>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</si>
  <si>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</si>
  <si>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</si>
  <si>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</si>
  <si>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</si>
  <si>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</si>
  <si>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</si>
  <si>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</si>
  <si>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</si>
  <si>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</si>
  <si>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</si>
  <si>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</si>
  <si>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</si>
  <si>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</si>
  <si>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</si>
  <si>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</si>
  <si>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</si>
  <si>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</si>
  <si>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</si>
  <si>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</si>
  <si>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</si>
  <si>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</si>
  <si>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</si>
  <si>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</si>
  <si>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</si>
  <si>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</si>
  <si>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</si>
  <si>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</si>
  <si>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</si>
  <si>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</si>
  <si>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</si>
  <si>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</si>
  <si>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</si>
  <si>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</si>
  <si>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</si>
  <si>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</si>
  <si>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</si>
  <si>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</si>
  <si>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</si>
  <si>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</si>
  <si>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</si>
  <si>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</si>
  <si>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</si>
  <si>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</si>
  <si>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</si>
  <si>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</si>
  <si>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</si>
  <si>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</si>
  <si>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</si>
  <si>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</si>
  <si>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</si>
  <si>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</si>
  <si>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</si>
  <si>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</si>
  <si>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</si>
  <si>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</si>
  <si>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</si>
  <si>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</si>
  <si>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</si>
  <si>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</si>
  <si>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</si>
  <si>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</si>
  <si>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</si>
  <si>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</si>
  <si>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</si>
  <si>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</si>
  <si>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</si>
  <si>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</si>
  <si>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</si>
  <si>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</si>
  <si>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</si>
  <si>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</si>
  <si>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</si>
  <si>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</si>
  <si>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</si>
  <si>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</si>
  <si>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</si>
  <si>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</si>
  <si>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</si>
  <si>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</si>
  <si>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</si>
  <si>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</si>
  <si>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</si>
  <si>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</si>
  <si>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</si>
  <si>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</si>
  <si>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</si>
  <si>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</si>
  <si>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</si>
  <si>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</si>
  <si>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</si>
  <si>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</si>
  <si>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</si>
  <si>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</si>
  <si>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</si>
  <si>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</si>
  <si>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</si>
  <si>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</si>
  <si>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</si>
  <si>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</si>
  <si>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</si>
  <si>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</si>
  <si>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</si>
  <si>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</si>
  <si>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</si>
  <si>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</si>
  <si>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</si>
  <si>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</si>
  <si>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</si>
  <si>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</si>
  <si>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</si>
  <si>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</si>
  <si>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</si>
  <si>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</si>
  <si>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</si>
  <si>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</si>
  <si>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</si>
  <si>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</si>
  <si>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</si>
  <si>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</si>
  <si>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</si>
  <si>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</si>
  <si>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</si>
  <si>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</si>
  <si>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</si>
  <si>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</si>
  <si>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</si>
  <si>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</si>
  <si>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</si>
  <si>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</si>
  <si>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</si>
  <si>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</si>
  <si>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</si>
  <si>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</si>
  <si>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</si>
  <si>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</si>
  <si>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</si>
  <si>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</si>
  <si>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</si>
  <si>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</si>
  <si>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</si>
  <si>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</si>
  <si>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</si>
  <si>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</si>
  <si>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</si>
  <si>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</si>
  <si>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</si>
  <si>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</si>
  <si>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</si>
  <si>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</si>
  <si>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</si>
  <si>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</si>
  <si>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</si>
  <si>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</si>
  <si>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</si>
  <si>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</si>
  <si>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</si>
  <si>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</si>
  <si>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</si>
  <si>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</si>
  <si>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</si>
  <si>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</si>
  <si>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</si>
  <si>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</si>
  <si>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</si>
  <si>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</si>
  <si>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</si>
  <si>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</si>
  <si>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</si>
  <si>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</si>
  <si>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</si>
  <si>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</si>
  <si>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</si>
  <si>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</si>
  <si>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</si>
  <si>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</si>
  <si>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</si>
  <si>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</si>
  <si>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</si>
  <si>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</si>
  <si>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</si>
  <si>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</si>
  <si>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</si>
  <si>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</si>
  <si>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</si>
  <si>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</si>
  <si>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</si>
  <si>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</si>
  <si>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</si>
  <si>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</si>
  <si>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</si>
  <si>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</si>
  <si>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</si>
  <si>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</si>
  <si>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</si>
  <si>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</si>
  <si>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</si>
  <si>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</si>
  <si>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</si>
  <si>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</si>
  <si>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</si>
  <si>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</si>
  <si>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</si>
  <si>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</si>
  <si>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</si>
  <si>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</si>
  <si>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</si>
  <si>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</si>
  <si>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</si>
  <si>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</si>
  <si>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</si>
  <si>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</si>
  <si>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</si>
  <si>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</si>
  <si>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</si>
  <si>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</si>
  <si>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</si>
  <si>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</si>
  <si>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</si>
  <si>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</si>
  <si>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</si>
  <si>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</si>
  <si>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</si>
  <si>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</si>
  <si>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</si>
  <si>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</si>
  <si>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</si>
  <si>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</si>
  <si>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</si>
  <si>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</si>
  <si>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</si>
  <si>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</si>
  <si>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</si>
  <si>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</si>
  <si>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</si>
  <si>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</si>
  <si>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</si>
  <si>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</si>
  <si>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</si>
  <si>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</si>
  <si>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</si>
  <si>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</si>
  <si>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</si>
  <si>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</si>
  <si>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</si>
  <si>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</si>
  <si>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</si>
  <si>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</si>
  <si>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</si>
  <si>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</si>
  <si>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</si>
  <si>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</si>
  <si>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</si>
  <si>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</si>
  <si>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</si>
  <si>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</si>
  <si>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</si>
  <si>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</si>
  <si>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</si>
  <si>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</si>
  <si>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</si>
  <si>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</si>
  <si>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</si>
  <si>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</si>
  <si>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</si>
  <si>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</si>
  <si>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</si>
  <si>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</si>
  <si>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</si>
  <si>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</si>
  <si>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</si>
  <si>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</si>
  <si>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</si>
  <si>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</si>
  <si>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</si>
  <si>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</si>
  <si>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</si>
  <si>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</si>
  <si>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</si>
  <si>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</si>
  <si>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</si>
  <si>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</si>
  <si>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</si>
  <si>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</si>
  <si>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</si>
  <si>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</si>
  <si>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</si>
  <si>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</si>
  <si>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</si>
  <si>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</si>
  <si>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</si>
  <si>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</si>
  <si>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</si>
  <si>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</si>
  <si>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</si>
  <si>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</si>
  <si>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</si>
  <si>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</si>
  <si>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</si>
  <si>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</si>
  <si>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</si>
  <si>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</si>
  <si>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</si>
  <si>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</si>
  <si>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</si>
  <si>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</si>
  <si>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</si>
  <si>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</si>
  <si>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</si>
  <si>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</si>
  <si>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</si>
  <si>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</si>
  <si>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</si>
  <si>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</si>
  <si>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</si>
  <si>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</si>
  <si>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</si>
  <si>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</si>
  <si>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</si>
  <si>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</si>
  <si>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</si>
  <si>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</si>
  <si>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</si>
  <si>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</si>
  <si>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</si>
  <si>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</si>
  <si>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</si>
  <si>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</si>
  <si>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</si>
  <si>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</si>
  <si>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</si>
  <si>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</si>
  <si>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</si>
  <si>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</si>
  <si>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</si>
  <si>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</si>
  <si>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</si>
  <si>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</si>
  <si>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</si>
  <si>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</si>
  <si>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</si>
  <si>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</si>
  <si>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</si>
  <si>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</si>
  <si>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</si>
  <si>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</si>
  <si>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</si>
  <si>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</si>
  <si>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</si>
  <si>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</si>
  <si>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</si>
  <si>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</si>
  <si>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</si>
  <si>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</si>
  <si>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</si>
  <si>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</si>
  <si>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</si>
  <si>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</si>
  <si>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</si>
  <si>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</si>
  <si>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</si>
  <si>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</si>
  <si>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</si>
  <si>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</si>
  <si>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</si>
  <si>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</si>
  <si>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</si>
  <si>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</si>
  <si>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</si>
  <si>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</si>
  <si>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</si>
  <si>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</si>
  <si>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</si>
  <si>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</si>
  <si>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</si>
  <si>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</si>
  <si>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</si>
  <si>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</si>
  <si>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</si>
  <si>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</si>
  <si>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</si>
  <si>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</si>
  <si>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</si>
  <si>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</si>
  <si>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</si>
  <si>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</si>
  <si>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</si>
  <si>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</si>
  <si>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</si>
  <si>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</si>
  <si>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</si>
  <si>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</si>
  <si>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</si>
  <si>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</si>
  <si>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</si>
  <si>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</si>
  <si>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</si>
  <si>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</si>
  <si>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</si>
  <si>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</si>
  <si>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</si>
  <si>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</si>
  <si>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</si>
  <si>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</si>
  <si>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</si>
  <si>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</si>
  <si>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</si>
  <si>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</si>
  <si>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</si>
  <si>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</si>
  <si>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</si>
  <si>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</si>
  <si>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</si>
  <si>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</si>
  <si>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</si>
  <si>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</si>
  <si>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</si>
  <si>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</si>
  <si>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</si>
  <si>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</si>
  <si>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</si>
  <si>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</si>
  <si>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</si>
  <si>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</si>
  <si>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</si>
  <si>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</si>
  <si>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</si>
  <si>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</si>
  <si>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</si>
  <si>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</si>
  <si>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</si>
  <si>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</si>
  <si>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</si>
  <si>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</si>
  <si>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</si>
  <si>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</si>
  <si>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</si>
  <si>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</si>
  <si>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</si>
  <si>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</si>
  <si>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</si>
  <si>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</si>
  <si>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</si>
  <si>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</si>
  <si>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</si>
  <si>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</si>
  <si>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</si>
  <si>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</si>
  <si>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</si>
  <si>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</si>
  <si>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</si>
  <si>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</si>
  <si>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</si>
  <si>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</si>
  <si>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</si>
  <si>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</si>
  <si>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</si>
  <si>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</si>
  <si>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</si>
  <si>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</si>
  <si>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</si>
  <si>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</si>
  <si>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</si>
  <si>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</si>
  <si>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</si>
  <si>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</si>
  <si>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</si>
  <si>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</si>
  <si>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</si>
  <si>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</si>
  <si>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</si>
  <si>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</si>
  <si>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</si>
  <si>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</si>
  <si>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</si>
  <si>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</si>
  <si>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</si>
  <si>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</si>
  <si>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</si>
  <si>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</si>
  <si>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</si>
  <si>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</si>
  <si>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</si>
  <si>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</si>
  <si>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</si>
  <si>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</si>
  <si>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</si>
  <si>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</si>
  <si>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</si>
  <si>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</si>
  <si>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</si>
  <si>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</si>
  <si>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</si>
  <si>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</si>
  <si>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</si>
  <si>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</si>
  <si>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</si>
  <si>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</si>
  <si>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</si>
  <si>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</si>
  <si>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</si>
  <si>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</si>
  <si>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</si>
  <si>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</si>
  <si>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</si>
  <si>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</si>
  <si>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</si>
  <si>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</si>
  <si>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</si>
  <si>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</si>
  <si>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</si>
  <si>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</si>
  <si>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</si>
  <si>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</si>
  <si>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</si>
  <si>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</si>
  <si>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</si>
  <si>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</si>
  <si>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</si>
  <si>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</si>
  <si>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</si>
  <si>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</si>
  <si>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</si>
  <si>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</si>
  <si>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</si>
  <si>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</si>
  <si>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</si>
  <si>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</si>
  <si>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</si>
  <si>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</si>
  <si>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</si>
  <si>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</si>
  <si>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</si>
  <si>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</si>
  <si>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</si>
  <si>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</si>
  <si>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</si>
  <si>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</si>
  <si>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</si>
  <si>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</si>
  <si>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</si>
  <si>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</si>
  <si>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</si>
  <si>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</si>
  <si>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</si>
  <si>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</si>
  <si>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</si>
  <si>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</si>
  <si>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</si>
  <si>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</si>
  <si>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</si>
  <si>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</si>
  <si>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</si>
  <si>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</si>
  <si>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</si>
  <si>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</si>
  <si>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</si>
  <si>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</si>
  <si>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</si>
  <si>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</si>
  <si>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</si>
  <si>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</si>
  <si>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</si>
  <si>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</si>
  <si>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</si>
  <si>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</si>
  <si>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</si>
  <si>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</si>
  <si>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</si>
  <si>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</si>
  <si>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</si>
  <si>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</si>
  <si>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</si>
  <si>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</si>
  <si>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</si>
  <si>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</si>
  <si>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</si>
  <si>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</si>
  <si>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</si>
  <si>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</si>
  <si>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</si>
  <si>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</si>
  <si>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</si>
  <si>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</si>
  <si>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</si>
  <si>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</si>
  <si>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</si>
  <si>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</si>
  <si>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</si>
  <si>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</si>
  <si>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</si>
  <si>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</si>
  <si>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</si>
  <si>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</si>
  <si>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</si>
  <si>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</si>
  <si>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</si>
  <si>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</si>
  <si>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</si>
  <si>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</si>
  <si>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</si>
  <si>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</si>
  <si>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</si>
  <si>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</si>
  <si>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</si>
  <si>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</si>
  <si>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</si>
  <si>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</si>
  <si>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</si>
  <si>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</si>
  <si>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</si>
  <si>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</si>
  <si>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</si>
  <si>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</si>
  <si>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</si>
  <si>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</si>
  <si>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</si>
  <si>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</si>
  <si>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</si>
  <si>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</si>
  <si>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</si>
  <si>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</si>
  <si>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</si>
  <si>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</si>
  <si>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</si>
  <si>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</si>
  <si>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</si>
  <si>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</si>
  <si>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</si>
  <si>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</si>
  <si>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</si>
  <si>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</si>
  <si>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</si>
  <si>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</si>
  <si>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</si>
  <si>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</si>
  <si>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</si>
  <si>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</si>
  <si>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</si>
  <si>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</si>
  <si>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</si>
  <si>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</si>
  <si>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</si>
  <si>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</si>
  <si>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</si>
  <si>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</si>
  <si>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</si>
  <si>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</si>
  <si>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</si>
  <si>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</si>
  <si>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</si>
  <si>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</si>
  <si>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</si>
  <si>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</si>
  <si>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</si>
  <si>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</si>
  <si>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</si>
  <si>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</si>
  <si>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</si>
  <si>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</si>
  <si>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</si>
  <si>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</si>
  <si>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</si>
  <si>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</si>
  <si>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</si>
  <si>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</si>
  <si>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</si>
  <si>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</si>
  <si>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</si>
  <si>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</si>
  <si>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</si>
  <si>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</si>
  <si>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</si>
  <si>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</si>
  <si>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</si>
  <si>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</si>
  <si>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</si>
  <si>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</si>
  <si>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</si>
  <si>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</si>
  <si>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</si>
  <si>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</si>
  <si>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</si>
  <si>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</si>
  <si>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</si>
  <si>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</si>
  <si>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</si>
  <si>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</si>
  <si>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</si>
  <si>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</si>
  <si>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</si>
  <si>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</si>
  <si>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</si>
  <si>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</si>
  <si>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</si>
  <si>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</si>
  <si>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</si>
  <si>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</si>
  <si>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</si>
  <si>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A</t>
  </si>
  <si>
    <t>B</t>
  </si>
  <si>
    <t>Column</t>
  </si>
  <si>
    <t>Missing Values</t>
  </si>
  <si>
    <t>Check</t>
  </si>
  <si>
    <t>Result</t>
  </si>
  <si>
    <t>Duplicate Records</t>
  </si>
  <si>
    <t>0 duplicates found</t>
  </si>
  <si>
    <t>Sex consistency</t>
  </si>
  <si>
    <r>
      <t>male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female</t>
    </r>
    <r>
      <rPr>
        <sz val="11"/>
        <color theme="1"/>
        <rFont val="Aptos Narrow"/>
        <family val="2"/>
        <scheme val="minor"/>
      </rPr>
      <t xml:space="preserve"> only</t>
    </r>
  </si>
  <si>
    <t>Embarked consistency</t>
  </si>
  <si>
    <t>Pclass consistency</t>
  </si>
  <si>
    <r>
      <t>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3</t>
    </r>
    <r>
      <rPr>
        <sz val="11"/>
        <color theme="1"/>
        <rFont val="Aptos Narrow"/>
        <family val="2"/>
        <scheme val="minor"/>
      </rPr>
      <t xml:space="preserve"> only</t>
    </r>
  </si>
  <si>
    <t>Survived consistency</t>
  </si>
  <si>
    <r>
      <t>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only</t>
    </r>
  </si>
  <si>
    <t>Unknown</t>
  </si>
  <si>
    <t>s</t>
  </si>
  <si>
    <t>Minimum Age</t>
  </si>
  <si>
    <t>Maximum Age</t>
  </si>
  <si>
    <t>Minimum Fare</t>
  </si>
  <si>
    <t>Maximum Fare</t>
  </si>
  <si>
    <t>Formula</t>
  </si>
  <si>
    <t>Expected Result</t>
  </si>
  <si>
    <t>Missing Age</t>
  </si>
  <si>
    <t>Missing Cabin</t>
  </si>
  <si>
    <t>Missing Embarked</t>
  </si>
  <si>
    <r>
      <t>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Q</t>
    </r>
    <r>
      <rPr>
        <sz val="11"/>
        <color theme="1"/>
        <rFont val="Aptos Narrow"/>
        <family val="2"/>
        <scheme val="minor"/>
      </rPr>
      <t xml:space="preserve">  only</t>
    </r>
  </si>
  <si>
    <t>Age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</si>
</sst>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/>
    <xf numFmtId="0" fontId="18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5D3BCA-D491-4707-89A6-BD99578404D9}" name="Table5" displayName="Table5" ref="A1:M892" totalsRowShown="0" headerRowDxfId="10">
  <autoFilter ref="A1:M892" xr:uid="{455D3BCA-D491-4707-89A6-BD99578404D9}"/>
  <tableColumns count="13">
    <tableColumn id="1" xr3:uid="{91CDE43B-D803-4575-8442-CAA1F1487036}" name="PassengerId"/>
    <tableColumn id="2" xr3:uid="{5546B7E1-04E5-43D2-A0C3-CBF9856CCF69}" name="Survived"/>
    <tableColumn id="3" xr3:uid="{1889AC15-EF8B-420D-A4D8-0DB810ABB912}" name="Pclass"/>
    <tableColumn id="4" xr3:uid="{D88B0A17-6B87-4675-9673-04F2DD678F0C}" name="Name"/>
    <tableColumn id="5" xr3:uid="{57AF12FE-E470-4890-9DFD-E39743089931}" name="Sex"/>
    <tableColumn id="6" xr3:uid="{A21330BB-32AF-4EFE-8E7D-F9B1217CE7BB}" name="Age"/>
    <tableColumn id="7" xr3:uid="{D039594E-A1E6-41DF-A619-DE81E7A278DA}" name="SibSp"/>
    <tableColumn id="8" xr3:uid="{8A42CD2E-BE8A-4124-B285-CABF8216D5A7}" name="Parch"/>
    <tableColumn id="9" xr3:uid="{3E74EA19-A29A-4C49-B8F3-88FB0D0ACBA5}" name="Ticket"/>
    <tableColumn id="10" xr3:uid="{5C73724C-8405-44EE-8E1C-08505B00455F}" name="Fare"/>
    <tableColumn id="11" xr3:uid="{5059A848-F09C-410B-AF78-CDCAB2B65C38}" name="Cabin"/>
    <tableColumn id="12" xr3:uid="{F507B8BD-1437-4A6B-A05D-61BB54E84594}" name="Embarked"/>
    <tableColumn id="13" xr3:uid="{49D61479-94DF-4D21-8042-177C5CA42F16}" name="Age Group" dataDxfId="9">
      <calculatedColumnFormula>IF(F2&lt;13,"Child",IF(F2&lt;20,"Teenager",IF(F2&lt;40,"Adult",IF(F2&lt;60,"Middle Age","Senior"))))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1A6E10-A79A-4C77-95F4-DEA45C39F0EF}" name="Table1" displayName="Table1" ref="D1:G2" totalsRowShown="0" headerRowDxfId="8">
  <autoFilter ref="D1:G2" xr:uid="{0C1A6E10-A79A-4C77-95F4-DEA45C39F0EF}"/>
  <tableColumns count="4">
    <tableColumn id="1" xr3:uid="{DC6AE27D-9EAE-4ACE-A9ED-786B603ED395}" name="Minimum Age">
      <calculatedColumnFormula>MIN(train!F2:F892)</calculatedColumnFormula>
    </tableColumn>
    <tableColumn id="2" xr3:uid="{E44DA769-C600-4FE4-92D9-E8E2ECDDC556}" name="Maximum Age">
      <calculatedColumnFormula>MAX(train!F2:F892)</calculatedColumnFormula>
    </tableColumn>
    <tableColumn id="3" xr3:uid="{2FAC2C36-7F0F-4D0F-A226-235CA853E7AB}" name="Minimum Fare">
      <calculatedColumnFormula>MIN(train!J2:J892)</calculatedColumnFormula>
    </tableColumn>
    <tableColumn id="4" xr3:uid="{A7DCC083-62C0-4009-9ABF-0C3BCBC3C77B}" name="Maximum Fare">
      <calculatedColumnFormula>MAX(train!J2:J892)</calculatedColumnFormula>
    </tableColumn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078B23-046B-428D-B0A5-BE7AA902A8F9}" name="Table2" displayName="Table2" ref="A1:B15" totalsRowShown="0" headerRowDxfId="7">
  <autoFilter ref="A1:B15" xr:uid="{8F078B23-046B-428D-B0A5-BE7AA902A8F9}"/>
  <tableColumns count="2">
    <tableColumn id="1" xr3:uid="{18CD591D-1D5F-4B4D-A104-FE0177CD5DBC}" name="A" dataDxfId="6"/>
    <tableColumn id="2" xr3:uid="{6C93CE95-11D8-4469-B685-948EC3F4E42A}" name="B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A30BCF-C3ED-4ECE-A352-D1E00F280A01}" name="Table3" displayName="Table3" ref="A21:B26" totalsRowShown="0" headerRowDxfId="5">
  <autoFilter ref="A21:B26" xr:uid="{5DA30BCF-C3ED-4ECE-A352-D1E00F280A01}"/>
  <tableColumns count="2">
    <tableColumn id="1" xr3:uid="{8C8DD572-3EA4-4E22-B46D-A2F634078AFB}" name="Check" dataDxfId="4"/>
    <tableColumn id="2" xr3:uid="{FFAC91AC-6364-4D2C-AB5C-7AFCF05A0CD6}" name="Result" dataDxfId="3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5AF3CEE-CD23-49A6-82C6-7060205E95E3}" name="Table4" displayName="Table4" ref="E8:G11" totalsRowShown="0">
  <autoFilter ref="E8:G11" xr:uid="{65AF3CEE-CD23-49A6-82C6-7060205E95E3}"/>
  <tableColumns count="3">
    <tableColumn id="1" xr3:uid="{26399374-F487-4E9D-9664-74DB9A6938CE}" name="Check" dataDxfId="2"/>
    <tableColumn id="2" xr3:uid="{EC862066-4E85-4D81-8D2B-6EAA8944EBAE}" name="Formula" dataDxfId="1"/>
    <tableColumn id="3" xr3:uid="{0CAD9D11-4785-4667-AFA2-CE1F53F4C4CE}" name="Expected Result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2323-510A-419B-80DF-E93D79BB61E9}">
  <dimension ref="A1:M892"/>
  <sheetViews>
    <sheetView tabSelected="1" topLeftCell="D1" workbookViewId="0">
      <selection activeCell="E20" sqref="E20"/>
    </sheetView>
  </sheetViews>
  <sheetFormatPr defaultRowHeight="14.4"/>
  <cols>
    <col min="1" max="1" width="14.44140625" customWidth="1"/>
    <col min="2" max="2" width="11.44140625" customWidth="1"/>
    <col min="3" max="3" width="12.109375" customWidth="1"/>
    <col min="4" max="4" width="47.6640625" customWidth="1"/>
    <col min="5" max="5" width="12.109375" customWidth="1"/>
    <col min="6" max="6" width="8" customWidth="1"/>
    <col min="7" max="7" width="11.88671875" customWidth="1"/>
    <col min="8" max="8" width="11.109375" customWidth="1"/>
    <col min="9" max="9" width="13" customWidth="1"/>
    <col min="10" max="10" width="11.109375" customWidth="1"/>
    <col min="11" max="11" width="15.21875" customWidth="1"/>
    <col min="12" max="12" width="13" customWidth="1"/>
    <col min="13" max="13" width="13.33203125" customWidth="1"/>
  </cols>
  <sheetData>
    <row r="1" spans="1:1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1249</v>
      </c>
    </row>
    <row r="2" spans="1:13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K2" t="s">
        <v>1237</v>
      </c>
      <c r="L2" t="s">
        <v>15</v>
      </c>
      <c r="M2" t="str">
        <f t="shared" ref="M2:M65" si="0">IF(F2&lt;13,"Child",IF(F2&lt;20,"Teenager",IF(F2&lt;40,"Adult",IF(F2&lt;60,"Middle Age","Senior"))))</f>
        <v>Adult</v>
      </c>
    </row>
    <row r="3" spans="1:13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  <c r="M3" t="str">
        <f t="shared" si="0"/>
        <v>Adult</v>
      </c>
    </row>
    <row r="4" spans="1:13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K4" t="s">
        <v>1237</v>
      </c>
      <c r="L4" t="s">
        <v>15</v>
      </c>
      <c r="M4" t="str">
        <f t="shared" si="0"/>
        <v>Adult</v>
      </c>
    </row>
    <row r="5" spans="1:13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  <c r="M5" t="str">
        <f t="shared" si="0"/>
        <v>Adult</v>
      </c>
    </row>
    <row r="6" spans="1:13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K6" t="s">
        <v>1237</v>
      </c>
      <c r="L6" t="s">
        <v>15</v>
      </c>
      <c r="M6" t="str">
        <f t="shared" si="0"/>
        <v>Adult</v>
      </c>
    </row>
    <row r="7" spans="1:13">
      <c r="A7">
        <v>6</v>
      </c>
      <c r="B7">
        <v>0</v>
      </c>
      <c r="C7">
        <v>3</v>
      </c>
      <c r="D7" t="s">
        <v>26</v>
      </c>
      <c r="E7" t="s">
        <v>13</v>
      </c>
      <c r="F7">
        <v>28</v>
      </c>
      <c r="G7">
        <v>0</v>
      </c>
      <c r="H7">
        <v>0</v>
      </c>
      <c r="I7">
        <v>330877</v>
      </c>
      <c r="J7">
        <v>8.4582999999999995</v>
      </c>
      <c r="K7" t="s">
        <v>1237</v>
      </c>
      <c r="L7" t="s">
        <v>27</v>
      </c>
      <c r="M7" t="str">
        <f t="shared" si="0"/>
        <v>Adult</v>
      </c>
    </row>
    <row r="8" spans="1:13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  <c r="M8" t="str">
        <f t="shared" si="0"/>
        <v>Middle Age</v>
      </c>
    </row>
    <row r="9" spans="1:13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K9" t="s">
        <v>1237</v>
      </c>
      <c r="L9" t="s">
        <v>15</v>
      </c>
      <c r="M9" t="str">
        <f t="shared" si="0"/>
        <v>Child</v>
      </c>
    </row>
    <row r="10" spans="1:13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K10" t="s">
        <v>1237</v>
      </c>
      <c r="L10" t="s">
        <v>15</v>
      </c>
      <c r="M10" t="str">
        <f t="shared" si="0"/>
        <v>Adult</v>
      </c>
    </row>
    <row r="11" spans="1:13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K11" t="s">
        <v>1237</v>
      </c>
      <c r="L11" t="s">
        <v>20</v>
      </c>
      <c r="M11" t="str">
        <f t="shared" si="0"/>
        <v>Teenager</v>
      </c>
    </row>
    <row r="12" spans="1:13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  <c r="M12" t="str">
        <f t="shared" si="0"/>
        <v>Child</v>
      </c>
    </row>
    <row r="13" spans="1:13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  <c r="M13" t="str">
        <f t="shared" si="0"/>
        <v>Middle Age</v>
      </c>
    </row>
    <row r="14" spans="1:13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K14" t="s">
        <v>1237</v>
      </c>
      <c r="L14" t="s">
        <v>15</v>
      </c>
      <c r="M14" t="str">
        <f t="shared" si="0"/>
        <v>Adult</v>
      </c>
    </row>
    <row r="15" spans="1:13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K15" t="s">
        <v>1237</v>
      </c>
      <c r="L15" t="s">
        <v>15</v>
      </c>
      <c r="M15" t="str">
        <f t="shared" si="0"/>
        <v>Adult</v>
      </c>
    </row>
    <row r="16" spans="1:13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K16" t="s">
        <v>1237</v>
      </c>
      <c r="L16" t="s">
        <v>15</v>
      </c>
      <c r="M16" t="str">
        <f t="shared" si="0"/>
        <v>Teenager</v>
      </c>
    </row>
    <row r="17" spans="1:13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K17" t="s">
        <v>1237</v>
      </c>
      <c r="L17" t="s">
        <v>15</v>
      </c>
      <c r="M17" t="str">
        <f t="shared" si="0"/>
        <v>Middle Age</v>
      </c>
    </row>
    <row r="18" spans="1:13">
      <c r="A18">
        <v>17</v>
      </c>
      <c r="B18">
        <v>0</v>
      </c>
      <c r="C18">
        <v>3</v>
      </c>
      <c r="D18" t="s">
        <v>43</v>
      </c>
      <c r="E18" t="s">
        <v>13</v>
      </c>
      <c r="F18">
        <v>28</v>
      </c>
      <c r="G18">
        <v>4</v>
      </c>
      <c r="H18">
        <v>1</v>
      </c>
      <c r="I18">
        <v>382652</v>
      </c>
      <c r="J18">
        <v>29.125</v>
      </c>
      <c r="K18" t="s">
        <v>1237</v>
      </c>
      <c r="L18" t="s">
        <v>27</v>
      </c>
      <c r="M18" t="str">
        <f t="shared" si="0"/>
        <v>Adult</v>
      </c>
    </row>
    <row r="19" spans="1:13">
      <c r="A19">
        <v>18</v>
      </c>
      <c r="B19">
        <v>1</v>
      </c>
      <c r="C19">
        <v>2</v>
      </c>
      <c r="D19" t="s">
        <v>44</v>
      </c>
      <c r="E19" t="s">
        <v>13</v>
      </c>
      <c r="F19">
        <v>28</v>
      </c>
      <c r="G19">
        <v>0</v>
      </c>
      <c r="H19">
        <v>0</v>
      </c>
      <c r="I19">
        <v>244373</v>
      </c>
      <c r="J19">
        <v>13</v>
      </c>
      <c r="K19" t="s">
        <v>1237</v>
      </c>
      <c r="L19" t="s">
        <v>15</v>
      </c>
      <c r="M19" t="str">
        <f t="shared" si="0"/>
        <v>Adult</v>
      </c>
    </row>
    <row r="20" spans="1:13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K20" t="s">
        <v>1237</v>
      </c>
      <c r="L20" t="s">
        <v>15</v>
      </c>
      <c r="M20" t="str">
        <f t="shared" si="0"/>
        <v>Adult</v>
      </c>
    </row>
    <row r="21" spans="1:13">
      <c r="A21">
        <v>20</v>
      </c>
      <c r="B21">
        <v>1</v>
      </c>
      <c r="C21">
        <v>3</v>
      </c>
      <c r="D21" t="s">
        <v>46</v>
      </c>
      <c r="E21" t="s">
        <v>17</v>
      </c>
      <c r="F21">
        <v>28</v>
      </c>
      <c r="G21">
        <v>0</v>
      </c>
      <c r="H21">
        <v>0</v>
      </c>
      <c r="I21">
        <v>2649</v>
      </c>
      <c r="J21">
        <v>7.2249999999999996</v>
      </c>
      <c r="K21" t="s">
        <v>1237</v>
      </c>
      <c r="L21" t="s">
        <v>20</v>
      </c>
      <c r="M21" t="str">
        <f t="shared" si="0"/>
        <v>Adult</v>
      </c>
    </row>
    <row r="22" spans="1:13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K22" t="s">
        <v>1237</v>
      </c>
      <c r="L22" t="s">
        <v>15</v>
      </c>
      <c r="M22" t="str">
        <f t="shared" si="0"/>
        <v>Adult</v>
      </c>
    </row>
    <row r="23" spans="1:13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  <c r="M23" t="str">
        <f t="shared" si="0"/>
        <v>Adult</v>
      </c>
    </row>
    <row r="24" spans="1:13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K24" t="s">
        <v>1237</v>
      </c>
      <c r="L24" t="s">
        <v>27</v>
      </c>
      <c r="M24" t="str">
        <f t="shared" si="0"/>
        <v>Teenager</v>
      </c>
    </row>
    <row r="25" spans="1:13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  <c r="M25" t="str">
        <f t="shared" si="0"/>
        <v>Adult</v>
      </c>
    </row>
    <row r="26" spans="1:13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K26" t="s">
        <v>1237</v>
      </c>
      <c r="L26" t="s">
        <v>15</v>
      </c>
      <c r="M26" t="str">
        <f t="shared" si="0"/>
        <v>Child</v>
      </c>
    </row>
    <row r="27" spans="1:13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K27" t="s">
        <v>1237</v>
      </c>
      <c r="L27" t="s">
        <v>15</v>
      </c>
      <c r="M27" t="str">
        <f t="shared" si="0"/>
        <v>Adult</v>
      </c>
    </row>
    <row r="28" spans="1:13">
      <c r="A28">
        <v>27</v>
      </c>
      <c r="B28">
        <v>0</v>
      </c>
      <c r="C28">
        <v>3</v>
      </c>
      <c r="D28" t="s">
        <v>55</v>
      </c>
      <c r="E28" t="s">
        <v>13</v>
      </c>
      <c r="F28">
        <v>28</v>
      </c>
      <c r="G28">
        <v>0</v>
      </c>
      <c r="H28">
        <v>0</v>
      </c>
      <c r="I28">
        <v>2631</v>
      </c>
      <c r="J28">
        <v>7.2249999999999996</v>
      </c>
      <c r="K28" t="s">
        <v>1237</v>
      </c>
      <c r="L28" t="s">
        <v>20</v>
      </c>
      <c r="M28" t="str">
        <f t="shared" si="0"/>
        <v>Adult</v>
      </c>
    </row>
    <row r="29" spans="1:13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  <c r="M29" t="str">
        <f t="shared" si="0"/>
        <v>Teenager</v>
      </c>
    </row>
    <row r="30" spans="1:13">
      <c r="A30">
        <v>29</v>
      </c>
      <c r="B30">
        <v>1</v>
      </c>
      <c r="C30">
        <v>3</v>
      </c>
      <c r="D30" t="s">
        <v>58</v>
      </c>
      <c r="E30" t="s">
        <v>17</v>
      </c>
      <c r="F30">
        <v>28</v>
      </c>
      <c r="G30">
        <v>0</v>
      </c>
      <c r="H30">
        <v>0</v>
      </c>
      <c r="I30">
        <v>330959</v>
      </c>
      <c r="J30">
        <v>7.8792</v>
      </c>
      <c r="K30" t="s">
        <v>1237</v>
      </c>
      <c r="L30" t="s">
        <v>27</v>
      </c>
      <c r="M30" t="str">
        <f t="shared" si="0"/>
        <v>Adult</v>
      </c>
    </row>
    <row r="31" spans="1:13">
      <c r="A31">
        <v>30</v>
      </c>
      <c r="B31">
        <v>0</v>
      </c>
      <c r="C31">
        <v>3</v>
      </c>
      <c r="D31" t="s">
        <v>59</v>
      </c>
      <c r="E31" t="s">
        <v>13</v>
      </c>
      <c r="F31">
        <v>28</v>
      </c>
      <c r="G31">
        <v>0</v>
      </c>
      <c r="H31">
        <v>0</v>
      </c>
      <c r="I31">
        <v>349216</v>
      </c>
      <c r="J31">
        <v>7.8958000000000004</v>
      </c>
      <c r="K31" t="s">
        <v>1237</v>
      </c>
      <c r="L31" t="s">
        <v>15</v>
      </c>
      <c r="M31" t="str">
        <f t="shared" si="0"/>
        <v>Adult</v>
      </c>
    </row>
    <row r="32" spans="1:13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K32" t="s">
        <v>1237</v>
      </c>
      <c r="L32" t="s">
        <v>20</v>
      </c>
      <c r="M32" t="str">
        <f t="shared" si="0"/>
        <v>Middle Age</v>
      </c>
    </row>
    <row r="33" spans="1:13">
      <c r="A33">
        <v>32</v>
      </c>
      <c r="B33">
        <v>1</v>
      </c>
      <c r="C33">
        <v>1</v>
      </c>
      <c r="D33" t="s">
        <v>62</v>
      </c>
      <c r="E33" t="s">
        <v>17</v>
      </c>
      <c r="F33">
        <v>28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  <c r="M33" t="str">
        <f t="shared" si="0"/>
        <v>Adult</v>
      </c>
    </row>
    <row r="34" spans="1:13">
      <c r="A34">
        <v>33</v>
      </c>
      <c r="B34">
        <v>1</v>
      </c>
      <c r="C34">
        <v>3</v>
      </c>
      <c r="D34" t="s">
        <v>65</v>
      </c>
      <c r="E34" t="s">
        <v>17</v>
      </c>
      <c r="F34">
        <v>28</v>
      </c>
      <c r="G34">
        <v>0</v>
      </c>
      <c r="H34">
        <v>0</v>
      </c>
      <c r="I34">
        <v>335677</v>
      </c>
      <c r="J34">
        <v>7.75</v>
      </c>
      <c r="K34" t="s">
        <v>1237</v>
      </c>
      <c r="L34" t="s">
        <v>27</v>
      </c>
      <c r="M34" t="str">
        <f t="shared" si="0"/>
        <v>Adult</v>
      </c>
    </row>
    <row r="35" spans="1:13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K35" t="s">
        <v>1237</v>
      </c>
      <c r="L35" t="s">
        <v>15</v>
      </c>
      <c r="M35" t="str">
        <f t="shared" si="0"/>
        <v>Senior</v>
      </c>
    </row>
    <row r="36" spans="1:13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K36" t="s">
        <v>1237</v>
      </c>
      <c r="L36" t="s">
        <v>20</v>
      </c>
      <c r="M36" t="str">
        <f t="shared" si="0"/>
        <v>Adult</v>
      </c>
    </row>
    <row r="37" spans="1:13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K37" t="s">
        <v>1237</v>
      </c>
      <c r="L37" t="s">
        <v>15</v>
      </c>
      <c r="M37" t="str">
        <f t="shared" si="0"/>
        <v>Middle Age</v>
      </c>
    </row>
    <row r="38" spans="1:13">
      <c r="A38">
        <v>37</v>
      </c>
      <c r="B38">
        <v>1</v>
      </c>
      <c r="C38">
        <v>3</v>
      </c>
      <c r="D38" t="s">
        <v>71</v>
      </c>
      <c r="E38" t="s">
        <v>13</v>
      </c>
      <c r="F38">
        <v>28</v>
      </c>
      <c r="G38">
        <v>0</v>
      </c>
      <c r="H38">
        <v>0</v>
      </c>
      <c r="I38">
        <v>2677</v>
      </c>
      <c r="J38">
        <v>7.2291999999999996</v>
      </c>
      <c r="K38" t="s">
        <v>1237</v>
      </c>
      <c r="L38" t="s">
        <v>20</v>
      </c>
      <c r="M38" t="str">
        <f t="shared" si="0"/>
        <v>Adult</v>
      </c>
    </row>
    <row r="39" spans="1:13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K39" t="s">
        <v>1237</v>
      </c>
      <c r="L39" t="s">
        <v>15</v>
      </c>
      <c r="M39" t="str">
        <f t="shared" si="0"/>
        <v>Adult</v>
      </c>
    </row>
    <row r="40" spans="1:13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K40" t="s">
        <v>1237</v>
      </c>
      <c r="L40" t="s">
        <v>15</v>
      </c>
      <c r="M40" t="str">
        <f t="shared" si="0"/>
        <v>Teenager</v>
      </c>
    </row>
    <row r="41" spans="1:13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K41" t="s">
        <v>1237</v>
      </c>
      <c r="L41" t="s">
        <v>20</v>
      </c>
      <c r="M41" t="str">
        <f t="shared" si="0"/>
        <v>Teenager</v>
      </c>
    </row>
    <row r="42" spans="1:13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K42" t="s">
        <v>1237</v>
      </c>
      <c r="L42" t="s">
        <v>15</v>
      </c>
      <c r="M42" t="str">
        <f t="shared" si="0"/>
        <v>Middle Age</v>
      </c>
    </row>
    <row r="43" spans="1:13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K43" t="s">
        <v>1237</v>
      </c>
      <c r="L43" t="s">
        <v>15</v>
      </c>
      <c r="M43" t="str">
        <f t="shared" si="0"/>
        <v>Adult</v>
      </c>
    </row>
    <row r="44" spans="1:13">
      <c r="A44">
        <v>43</v>
      </c>
      <c r="B44">
        <v>0</v>
      </c>
      <c r="C44">
        <v>3</v>
      </c>
      <c r="D44" t="s">
        <v>78</v>
      </c>
      <c r="E44" t="s">
        <v>13</v>
      </c>
      <c r="F44">
        <v>28</v>
      </c>
      <c r="G44">
        <v>0</v>
      </c>
      <c r="H44">
        <v>0</v>
      </c>
      <c r="I44">
        <v>349253</v>
      </c>
      <c r="J44">
        <v>7.8958000000000004</v>
      </c>
      <c r="K44" t="s">
        <v>1237</v>
      </c>
      <c r="L44" t="s">
        <v>20</v>
      </c>
      <c r="M44" t="str">
        <f t="shared" si="0"/>
        <v>Adult</v>
      </c>
    </row>
    <row r="45" spans="1:13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K45" t="s">
        <v>1237</v>
      </c>
      <c r="L45" t="s">
        <v>20</v>
      </c>
      <c r="M45" t="str">
        <f t="shared" si="0"/>
        <v>Child</v>
      </c>
    </row>
    <row r="46" spans="1:13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K46" t="s">
        <v>1237</v>
      </c>
      <c r="L46" t="s">
        <v>27</v>
      </c>
      <c r="M46" t="str">
        <f t="shared" si="0"/>
        <v>Teenager</v>
      </c>
    </row>
    <row r="47" spans="1:13">
      <c r="A47">
        <v>46</v>
      </c>
      <c r="B47">
        <v>0</v>
      </c>
      <c r="C47">
        <v>3</v>
      </c>
      <c r="D47" t="s">
        <v>82</v>
      </c>
      <c r="E47" t="s">
        <v>13</v>
      </c>
      <c r="F47">
        <v>28</v>
      </c>
      <c r="G47">
        <v>0</v>
      </c>
      <c r="H47">
        <v>0</v>
      </c>
      <c r="I47" t="s">
        <v>83</v>
      </c>
      <c r="J47">
        <v>8.0500000000000007</v>
      </c>
      <c r="K47" t="s">
        <v>1237</v>
      </c>
      <c r="L47" t="s">
        <v>15</v>
      </c>
      <c r="M47" t="str">
        <f t="shared" si="0"/>
        <v>Adult</v>
      </c>
    </row>
    <row r="48" spans="1:13">
      <c r="A48">
        <v>47</v>
      </c>
      <c r="B48">
        <v>0</v>
      </c>
      <c r="C48">
        <v>3</v>
      </c>
      <c r="D48" t="s">
        <v>84</v>
      </c>
      <c r="E48" t="s">
        <v>13</v>
      </c>
      <c r="F48">
        <v>28</v>
      </c>
      <c r="G48">
        <v>1</v>
      </c>
      <c r="H48">
        <v>0</v>
      </c>
      <c r="I48">
        <v>370371</v>
      </c>
      <c r="J48">
        <v>15.5</v>
      </c>
      <c r="K48" t="s">
        <v>1237</v>
      </c>
      <c r="L48" t="s">
        <v>27</v>
      </c>
      <c r="M48" t="str">
        <f t="shared" si="0"/>
        <v>Adult</v>
      </c>
    </row>
    <row r="49" spans="1:13">
      <c r="A49">
        <v>48</v>
      </c>
      <c r="B49">
        <v>1</v>
      </c>
      <c r="C49">
        <v>3</v>
      </c>
      <c r="D49" t="s">
        <v>85</v>
      </c>
      <c r="E49" t="s">
        <v>17</v>
      </c>
      <c r="F49">
        <v>28</v>
      </c>
      <c r="G49">
        <v>0</v>
      </c>
      <c r="H49">
        <v>0</v>
      </c>
      <c r="I49">
        <v>14311</v>
      </c>
      <c r="J49">
        <v>7.75</v>
      </c>
      <c r="K49" t="s">
        <v>1237</v>
      </c>
      <c r="L49" t="s">
        <v>27</v>
      </c>
      <c r="M49" t="str">
        <f t="shared" si="0"/>
        <v>Adult</v>
      </c>
    </row>
    <row r="50" spans="1:13">
      <c r="A50">
        <v>49</v>
      </c>
      <c r="B50">
        <v>0</v>
      </c>
      <c r="C50">
        <v>3</v>
      </c>
      <c r="D50" t="s">
        <v>86</v>
      </c>
      <c r="E50" t="s">
        <v>13</v>
      </c>
      <c r="F50">
        <v>28</v>
      </c>
      <c r="G50">
        <v>2</v>
      </c>
      <c r="H50">
        <v>0</v>
      </c>
      <c r="I50">
        <v>2662</v>
      </c>
      <c r="J50">
        <v>21.679200000000002</v>
      </c>
      <c r="K50" t="s">
        <v>1237</v>
      </c>
      <c r="L50" t="s">
        <v>20</v>
      </c>
      <c r="M50" t="str">
        <f t="shared" si="0"/>
        <v>Adult</v>
      </c>
    </row>
    <row r="51" spans="1:13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K51" t="s">
        <v>1237</v>
      </c>
      <c r="L51" t="s">
        <v>15</v>
      </c>
      <c r="M51" t="str">
        <f t="shared" si="0"/>
        <v>Teenager</v>
      </c>
    </row>
    <row r="52" spans="1:13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K52" t="s">
        <v>1237</v>
      </c>
      <c r="L52" t="s">
        <v>15</v>
      </c>
      <c r="M52" t="str">
        <f t="shared" si="0"/>
        <v>Child</v>
      </c>
    </row>
    <row r="53" spans="1:13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K53" t="s">
        <v>1237</v>
      </c>
      <c r="L53" t="s">
        <v>15</v>
      </c>
      <c r="M53" t="str">
        <f t="shared" si="0"/>
        <v>Adult</v>
      </c>
    </row>
    <row r="54" spans="1:13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  <c r="M54" t="str">
        <f t="shared" si="0"/>
        <v>Middle Age</v>
      </c>
    </row>
    <row r="55" spans="1:13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K55" t="s">
        <v>1237</v>
      </c>
      <c r="L55" t="s">
        <v>15</v>
      </c>
      <c r="M55" t="str">
        <f t="shared" si="0"/>
        <v>Adult</v>
      </c>
    </row>
    <row r="56" spans="1:13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  <c r="M56" t="str">
        <f t="shared" si="0"/>
        <v>Senior</v>
      </c>
    </row>
    <row r="57" spans="1:13">
      <c r="A57">
        <v>56</v>
      </c>
      <c r="B57">
        <v>1</v>
      </c>
      <c r="C57">
        <v>1</v>
      </c>
      <c r="D57" t="s">
        <v>97</v>
      </c>
      <c r="E57" t="s">
        <v>13</v>
      </c>
      <c r="F57">
        <v>28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  <c r="M57" t="str">
        <f t="shared" si="0"/>
        <v>Adult</v>
      </c>
    </row>
    <row r="58" spans="1:13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K58" t="s">
        <v>1237</v>
      </c>
      <c r="L58" t="s">
        <v>15</v>
      </c>
      <c r="M58" t="str">
        <f t="shared" si="0"/>
        <v>Adult</v>
      </c>
    </row>
    <row r="59" spans="1:13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K59" t="s">
        <v>1237</v>
      </c>
      <c r="L59" t="s">
        <v>20</v>
      </c>
      <c r="M59" t="str">
        <f t="shared" si="0"/>
        <v>Adult</v>
      </c>
    </row>
    <row r="60" spans="1:13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K60" t="s">
        <v>1237</v>
      </c>
      <c r="L60" t="s">
        <v>15</v>
      </c>
      <c r="M60" t="str">
        <f t="shared" si="0"/>
        <v>Child</v>
      </c>
    </row>
    <row r="61" spans="1:13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K61" t="s">
        <v>1237</v>
      </c>
      <c r="L61" t="s">
        <v>15</v>
      </c>
      <c r="M61" t="str">
        <f t="shared" si="0"/>
        <v>Child</v>
      </c>
    </row>
    <row r="62" spans="1:13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K62" t="s">
        <v>1237</v>
      </c>
      <c r="L62" t="s">
        <v>20</v>
      </c>
      <c r="M62" t="str">
        <f t="shared" si="0"/>
        <v>Adult</v>
      </c>
    </row>
    <row r="63" spans="1:13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  <c r="L63" t="s">
        <v>1238</v>
      </c>
      <c r="M63" t="str">
        <f t="shared" si="0"/>
        <v>Adult</v>
      </c>
    </row>
    <row r="64" spans="1:13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  <c r="M64" t="str">
        <f t="shared" si="0"/>
        <v>Middle Age</v>
      </c>
    </row>
    <row r="65" spans="1:13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K65" t="s">
        <v>1237</v>
      </c>
      <c r="L65" t="s">
        <v>15</v>
      </c>
      <c r="M65" t="str">
        <f t="shared" si="0"/>
        <v>Child</v>
      </c>
    </row>
    <row r="66" spans="1:13">
      <c r="A66">
        <v>65</v>
      </c>
      <c r="B66">
        <v>0</v>
      </c>
      <c r="C66">
        <v>1</v>
      </c>
      <c r="D66" t="s">
        <v>112</v>
      </c>
      <c r="E66" t="s">
        <v>13</v>
      </c>
      <c r="F66">
        <v>28</v>
      </c>
      <c r="G66">
        <v>0</v>
      </c>
      <c r="H66">
        <v>0</v>
      </c>
      <c r="I66" t="s">
        <v>113</v>
      </c>
      <c r="J66">
        <v>27.720800000000001</v>
      </c>
      <c r="K66" t="s">
        <v>1237</v>
      </c>
      <c r="L66" t="s">
        <v>20</v>
      </c>
      <c r="M66" t="str">
        <f t="shared" ref="M66:M129" si="1">IF(F66&lt;13,"Child",IF(F66&lt;20,"Teenager",IF(F66&lt;40,"Adult",IF(F66&lt;60,"Middle Age","Senior"))))</f>
        <v>Adult</v>
      </c>
    </row>
    <row r="67" spans="1:13">
      <c r="A67">
        <v>66</v>
      </c>
      <c r="B67">
        <v>1</v>
      </c>
      <c r="C67">
        <v>3</v>
      </c>
      <c r="D67" t="s">
        <v>114</v>
      </c>
      <c r="E67" t="s">
        <v>13</v>
      </c>
      <c r="F67">
        <v>28</v>
      </c>
      <c r="G67">
        <v>1</v>
      </c>
      <c r="H67">
        <v>1</v>
      </c>
      <c r="I67">
        <v>2661</v>
      </c>
      <c r="J67">
        <v>15.245799999999999</v>
      </c>
      <c r="K67" t="s">
        <v>1237</v>
      </c>
      <c r="L67" t="s">
        <v>20</v>
      </c>
      <c r="M67" t="str">
        <f t="shared" si="1"/>
        <v>Adult</v>
      </c>
    </row>
    <row r="68" spans="1:13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  <c r="M68" t="str">
        <f t="shared" si="1"/>
        <v>Adult</v>
      </c>
    </row>
    <row r="69" spans="1:13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K69" t="s">
        <v>1237</v>
      </c>
      <c r="L69" t="s">
        <v>15</v>
      </c>
      <c r="M69" t="str">
        <f t="shared" si="1"/>
        <v>Teenager</v>
      </c>
    </row>
    <row r="70" spans="1:13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K70" t="s">
        <v>1237</v>
      </c>
      <c r="L70" t="s">
        <v>15</v>
      </c>
      <c r="M70" t="str">
        <f t="shared" si="1"/>
        <v>Teenager</v>
      </c>
    </row>
    <row r="71" spans="1:13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K71" t="s">
        <v>1237</v>
      </c>
      <c r="L71" t="s">
        <v>15</v>
      </c>
      <c r="M71" t="str">
        <f t="shared" si="1"/>
        <v>Adult</v>
      </c>
    </row>
    <row r="72" spans="1:13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K72" t="s">
        <v>1237</v>
      </c>
      <c r="L72" t="s">
        <v>15</v>
      </c>
      <c r="M72" t="str">
        <f t="shared" si="1"/>
        <v>Adult</v>
      </c>
    </row>
    <row r="73" spans="1:13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K73" t="s">
        <v>1237</v>
      </c>
      <c r="L73" t="s">
        <v>15</v>
      </c>
      <c r="M73" t="str">
        <f t="shared" si="1"/>
        <v>Teenager</v>
      </c>
    </row>
    <row r="74" spans="1:13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K74" t="s">
        <v>1237</v>
      </c>
      <c r="L74" t="s">
        <v>15</v>
      </c>
      <c r="M74" t="str">
        <f t="shared" si="1"/>
        <v>Adult</v>
      </c>
    </row>
    <row r="75" spans="1:13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K75" t="s">
        <v>1237</v>
      </c>
      <c r="L75" t="s">
        <v>20</v>
      </c>
      <c r="M75" t="str">
        <f t="shared" si="1"/>
        <v>Adult</v>
      </c>
    </row>
    <row r="76" spans="1:13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K76" t="s">
        <v>1237</v>
      </c>
      <c r="L76" t="s">
        <v>15</v>
      </c>
      <c r="M76" t="str">
        <f t="shared" si="1"/>
        <v>Adult</v>
      </c>
    </row>
    <row r="77" spans="1:13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  <c r="M77" t="str">
        <f t="shared" si="1"/>
        <v>Adult</v>
      </c>
    </row>
    <row r="78" spans="1:13">
      <c r="A78">
        <v>77</v>
      </c>
      <c r="B78">
        <v>0</v>
      </c>
      <c r="C78">
        <v>3</v>
      </c>
      <c r="D78" t="s">
        <v>131</v>
      </c>
      <c r="E78" t="s">
        <v>13</v>
      </c>
      <c r="F78">
        <v>28</v>
      </c>
      <c r="G78">
        <v>0</v>
      </c>
      <c r="H78">
        <v>0</v>
      </c>
      <c r="I78">
        <v>349208</v>
      </c>
      <c r="J78">
        <v>7.8958000000000004</v>
      </c>
      <c r="K78" t="s">
        <v>1237</v>
      </c>
      <c r="L78" t="s">
        <v>15</v>
      </c>
      <c r="M78" t="str">
        <f t="shared" si="1"/>
        <v>Adult</v>
      </c>
    </row>
    <row r="79" spans="1:13">
      <c r="A79">
        <v>78</v>
      </c>
      <c r="B79">
        <v>0</v>
      </c>
      <c r="C79">
        <v>3</v>
      </c>
      <c r="D79" t="s">
        <v>132</v>
      </c>
      <c r="E79" t="s">
        <v>13</v>
      </c>
      <c r="F79">
        <v>28</v>
      </c>
      <c r="G79">
        <v>0</v>
      </c>
      <c r="H79">
        <v>0</v>
      </c>
      <c r="I79">
        <v>374746</v>
      </c>
      <c r="J79">
        <v>8.0500000000000007</v>
      </c>
      <c r="K79" t="s">
        <v>1237</v>
      </c>
      <c r="L79" t="s">
        <v>15</v>
      </c>
      <c r="M79" t="str">
        <f t="shared" si="1"/>
        <v>Adult</v>
      </c>
    </row>
    <row r="80" spans="1:13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K80" t="s">
        <v>1237</v>
      </c>
      <c r="L80" t="s">
        <v>15</v>
      </c>
      <c r="M80" t="str">
        <f t="shared" si="1"/>
        <v>Child</v>
      </c>
    </row>
    <row r="81" spans="1:13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K81" t="s">
        <v>1237</v>
      </c>
      <c r="L81" t="s">
        <v>15</v>
      </c>
      <c r="M81" t="str">
        <f t="shared" si="1"/>
        <v>Adult</v>
      </c>
    </row>
    <row r="82" spans="1:13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K82" t="s">
        <v>1237</v>
      </c>
      <c r="L82" t="s">
        <v>15</v>
      </c>
      <c r="M82" t="str">
        <f t="shared" si="1"/>
        <v>Adult</v>
      </c>
    </row>
    <row r="83" spans="1:13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K83" t="s">
        <v>1237</v>
      </c>
      <c r="L83" t="s">
        <v>15</v>
      </c>
      <c r="M83" t="str">
        <f t="shared" si="1"/>
        <v>Adult</v>
      </c>
    </row>
    <row r="84" spans="1:13">
      <c r="A84">
        <v>83</v>
      </c>
      <c r="B84">
        <v>1</v>
      </c>
      <c r="C84">
        <v>3</v>
      </c>
      <c r="D84" t="s">
        <v>137</v>
      </c>
      <c r="E84" t="s">
        <v>17</v>
      </c>
      <c r="F84">
        <v>28</v>
      </c>
      <c r="G84">
        <v>0</v>
      </c>
      <c r="H84">
        <v>0</v>
      </c>
      <c r="I84">
        <v>330932</v>
      </c>
      <c r="J84">
        <v>7.7874999999999996</v>
      </c>
      <c r="K84" t="s">
        <v>1237</v>
      </c>
      <c r="L84" t="s">
        <v>27</v>
      </c>
      <c r="M84" t="str">
        <f t="shared" si="1"/>
        <v>Adult</v>
      </c>
    </row>
    <row r="85" spans="1:13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K85" t="s">
        <v>1237</v>
      </c>
      <c r="L85" t="s">
        <v>15</v>
      </c>
      <c r="M85" t="str">
        <f t="shared" si="1"/>
        <v>Adult</v>
      </c>
    </row>
    <row r="86" spans="1:13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K86" t="s">
        <v>1237</v>
      </c>
      <c r="L86" t="s">
        <v>15</v>
      </c>
      <c r="M86" t="str">
        <f t="shared" si="1"/>
        <v>Teenager</v>
      </c>
    </row>
    <row r="87" spans="1:13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K87" t="s">
        <v>1237</v>
      </c>
      <c r="L87" t="s">
        <v>15</v>
      </c>
      <c r="M87" t="str">
        <f t="shared" si="1"/>
        <v>Adult</v>
      </c>
    </row>
    <row r="88" spans="1:13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K88" t="s">
        <v>1237</v>
      </c>
      <c r="L88" t="s">
        <v>15</v>
      </c>
      <c r="M88" t="str">
        <f t="shared" si="1"/>
        <v>Teenager</v>
      </c>
    </row>
    <row r="89" spans="1:13">
      <c r="A89">
        <v>88</v>
      </c>
      <c r="B89">
        <v>0</v>
      </c>
      <c r="C89">
        <v>3</v>
      </c>
      <c r="D89" t="s">
        <v>144</v>
      </c>
      <c r="E89" t="s">
        <v>13</v>
      </c>
      <c r="F89">
        <v>28</v>
      </c>
      <c r="G89">
        <v>0</v>
      </c>
      <c r="H89">
        <v>0</v>
      </c>
      <c r="I89" t="s">
        <v>145</v>
      </c>
      <c r="J89">
        <v>8.0500000000000007</v>
      </c>
      <c r="K89" t="s">
        <v>1237</v>
      </c>
      <c r="L89" t="s">
        <v>15</v>
      </c>
      <c r="M89" t="str">
        <f t="shared" si="1"/>
        <v>Adult</v>
      </c>
    </row>
    <row r="90" spans="1:13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  <c r="M90" t="str">
        <f t="shared" si="1"/>
        <v>Adult</v>
      </c>
    </row>
    <row r="91" spans="1:13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K91" t="s">
        <v>1237</v>
      </c>
      <c r="L91" t="s">
        <v>15</v>
      </c>
      <c r="M91" t="str">
        <f t="shared" si="1"/>
        <v>Adult</v>
      </c>
    </row>
    <row r="92" spans="1:13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K92" t="s">
        <v>1237</v>
      </c>
      <c r="L92" t="s">
        <v>15</v>
      </c>
      <c r="M92" t="str">
        <f t="shared" si="1"/>
        <v>Adult</v>
      </c>
    </row>
    <row r="93" spans="1:13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K93" t="s">
        <v>1237</v>
      </c>
      <c r="L93" t="s">
        <v>15</v>
      </c>
      <c r="M93" t="str">
        <f t="shared" si="1"/>
        <v>Adult</v>
      </c>
    </row>
    <row r="94" spans="1:13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  <c r="M94" t="str">
        <f t="shared" si="1"/>
        <v>Middle Age</v>
      </c>
    </row>
    <row r="95" spans="1:13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K95" t="s">
        <v>1237</v>
      </c>
      <c r="L95" t="s">
        <v>15</v>
      </c>
      <c r="M95" t="str">
        <f t="shared" si="1"/>
        <v>Adult</v>
      </c>
    </row>
    <row r="96" spans="1:13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K96" t="s">
        <v>1237</v>
      </c>
      <c r="L96" t="s">
        <v>15</v>
      </c>
      <c r="M96" t="str">
        <f t="shared" si="1"/>
        <v>Middle Age</v>
      </c>
    </row>
    <row r="97" spans="1:13">
      <c r="A97">
        <v>96</v>
      </c>
      <c r="B97">
        <v>0</v>
      </c>
      <c r="C97">
        <v>3</v>
      </c>
      <c r="D97" t="s">
        <v>156</v>
      </c>
      <c r="E97" t="s">
        <v>13</v>
      </c>
      <c r="F97">
        <v>28</v>
      </c>
      <c r="G97">
        <v>0</v>
      </c>
      <c r="H97">
        <v>0</v>
      </c>
      <c r="I97">
        <v>374910</v>
      </c>
      <c r="J97">
        <v>8.0500000000000007</v>
      </c>
      <c r="K97" t="s">
        <v>1237</v>
      </c>
      <c r="L97" t="s">
        <v>15</v>
      </c>
      <c r="M97" t="str">
        <f t="shared" si="1"/>
        <v>Adult</v>
      </c>
    </row>
    <row r="98" spans="1:13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  <c r="M98" t="str">
        <f t="shared" si="1"/>
        <v>Senior</v>
      </c>
    </row>
    <row r="99" spans="1:13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  <c r="M99" t="str">
        <f t="shared" si="1"/>
        <v>Adult</v>
      </c>
    </row>
    <row r="100" spans="1:13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K100" t="s">
        <v>1237</v>
      </c>
      <c r="L100" t="s">
        <v>15</v>
      </c>
      <c r="M100" t="str">
        <f t="shared" si="1"/>
        <v>Adult</v>
      </c>
    </row>
    <row r="101" spans="1:13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K101" t="s">
        <v>1237</v>
      </c>
      <c r="L101" t="s">
        <v>15</v>
      </c>
      <c r="M101" t="str">
        <f t="shared" si="1"/>
        <v>Adult</v>
      </c>
    </row>
    <row r="102" spans="1:13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K102" t="s">
        <v>1237</v>
      </c>
      <c r="L102" t="s">
        <v>15</v>
      </c>
      <c r="M102" t="str">
        <f t="shared" si="1"/>
        <v>Adult</v>
      </c>
    </row>
    <row r="103" spans="1:13">
      <c r="A103">
        <v>102</v>
      </c>
      <c r="B103">
        <v>0</v>
      </c>
      <c r="C103">
        <v>3</v>
      </c>
      <c r="D103" t="s">
        <v>166</v>
      </c>
      <c r="E103" t="s">
        <v>13</v>
      </c>
      <c r="F103">
        <v>28</v>
      </c>
      <c r="G103">
        <v>0</v>
      </c>
      <c r="H103">
        <v>0</v>
      </c>
      <c r="I103">
        <v>349215</v>
      </c>
      <c r="J103">
        <v>7.8958000000000004</v>
      </c>
      <c r="K103" t="s">
        <v>1237</v>
      </c>
      <c r="L103" t="s">
        <v>15</v>
      </c>
      <c r="M103" t="str">
        <f t="shared" si="1"/>
        <v>Adult</v>
      </c>
    </row>
    <row r="104" spans="1:13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  <c r="M104" t="str">
        <f t="shared" si="1"/>
        <v>Adult</v>
      </c>
    </row>
    <row r="105" spans="1:13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K105" t="s">
        <v>1237</v>
      </c>
      <c r="L105" t="s">
        <v>15</v>
      </c>
      <c r="M105" t="str">
        <f t="shared" si="1"/>
        <v>Adult</v>
      </c>
    </row>
    <row r="106" spans="1:13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K106" t="s">
        <v>1237</v>
      </c>
      <c r="L106" t="s">
        <v>15</v>
      </c>
      <c r="M106" t="str">
        <f t="shared" si="1"/>
        <v>Adult</v>
      </c>
    </row>
    <row r="107" spans="1:13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K107" t="s">
        <v>1237</v>
      </c>
      <c r="L107" t="s">
        <v>15</v>
      </c>
      <c r="M107" t="str">
        <f t="shared" si="1"/>
        <v>Adult</v>
      </c>
    </row>
    <row r="108" spans="1:13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K108" t="s">
        <v>1237</v>
      </c>
      <c r="L108" t="s">
        <v>15</v>
      </c>
      <c r="M108" t="str">
        <f t="shared" si="1"/>
        <v>Adult</v>
      </c>
    </row>
    <row r="109" spans="1:13">
      <c r="A109">
        <v>108</v>
      </c>
      <c r="B109">
        <v>1</v>
      </c>
      <c r="C109">
        <v>3</v>
      </c>
      <c r="D109" t="s">
        <v>173</v>
      </c>
      <c r="E109" t="s">
        <v>13</v>
      </c>
      <c r="F109">
        <v>28</v>
      </c>
      <c r="G109">
        <v>0</v>
      </c>
      <c r="H109">
        <v>0</v>
      </c>
      <c r="I109">
        <v>312991</v>
      </c>
      <c r="J109">
        <v>7.7750000000000004</v>
      </c>
      <c r="K109" t="s">
        <v>1237</v>
      </c>
      <c r="L109" t="s">
        <v>15</v>
      </c>
      <c r="M109" t="str">
        <f t="shared" si="1"/>
        <v>Adult</v>
      </c>
    </row>
    <row r="110" spans="1:13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K110" t="s">
        <v>1237</v>
      </c>
      <c r="L110" t="s">
        <v>15</v>
      </c>
      <c r="M110" t="str">
        <f t="shared" si="1"/>
        <v>Adult</v>
      </c>
    </row>
    <row r="111" spans="1:13">
      <c r="A111">
        <v>110</v>
      </c>
      <c r="B111">
        <v>1</v>
      </c>
      <c r="C111">
        <v>3</v>
      </c>
      <c r="D111" t="s">
        <v>175</v>
      </c>
      <c r="E111" t="s">
        <v>17</v>
      </c>
      <c r="F111">
        <v>28</v>
      </c>
      <c r="G111">
        <v>1</v>
      </c>
      <c r="H111">
        <v>0</v>
      </c>
      <c r="I111">
        <v>371110</v>
      </c>
      <c r="J111">
        <v>24.15</v>
      </c>
      <c r="K111" t="s">
        <v>1237</v>
      </c>
      <c r="L111" t="s">
        <v>27</v>
      </c>
      <c r="M111" t="str">
        <f t="shared" si="1"/>
        <v>Adult</v>
      </c>
    </row>
    <row r="112" spans="1:13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  <c r="M112" t="str">
        <f t="shared" si="1"/>
        <v>Middle Age</v>
      </c>
    </row>
    <row r="113" spans="1:13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K113" t="s">
        <v>1237</v>
      </c>
      <c r="L113" t="s">
        <v>20</v>
      </c>
      <c r="M113" t="str">
        <f t="shared" si="1"/>
        <v>Teenager</v>
      </c>
    </row>
    <row r="114" spans="1:13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K114" t="s">
        <v>1237</v>
      </c>
      <c r="L114" t="s">
        <v>15</v>
      </c>
      <c r="M114" t="str">
        <f t="shared" si="1"/>
        <v>Adult</v>
      </c>
    </row>
    <row r="115" spans="1:13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K115" t="s">
        <v>1237</v>
      </c>
      <c r="L115" t="s">
        <v>15</v>
      </c>
      <c r="M115" t="str">
        <f t="shared" si="1"/>
        <v>Adult</v>
      </c>
    </row>
    <row r="116" spans="1:13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K116" t="s">
        <v>1237</v>
      </c>
      <c r="L116" t="s">
        <v>20</v>
      </c>
      <c r="M116" t="str">
        <f t="shared" si="1"/>
        <v>Teenager</v>
      </c>
    </row>
    <row r="117" spans="1:13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K117" t="s">
        <v>1237</v>
      </c>
      <c r="L117" t="s">
        <v>15</v>
      </c>
      <c r="M117" t="str">
        <f t="shared" si="1"/>
        <v>Adult</v>
      </c>
    </row>
    <row r="118" spans="1:13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K118" t="s">
        <v>1237</v>
      </c>
      <c r="L118" t="s">
        <v>27</v>
      </c>
      <c r="M118" t="str">
        <f t="shared" si="1"/>
        <v>Senior</v>
      </c>
    </row>
    <row r="119" spans="1:13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K119" t="s">
        <v>1237</v>
      </c>
      <c r="L119" t="s">
        <v>15</v>
      </c>
      <c r="M119" t="str">
        <f t="shared" si="1"/>
        <v>Adult</v>
      </c>
    </row>
    <row r="120" spans="1:13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  <c r="M120" t="str">
        <f t="shared" si="1"/>
        <v>Adult</v>
      </c>
    </row>
    <row r="121" spans="1:13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K121" t="s">
        <v>1237</v>
      </c>
      <c r="L121" t="s">
        <v>15</v>
      </c>
      <c r="M121" t="str">
        <f t="shared" si="1"/>
        <v>Child</v>
      </c>
    </row>
    <row r="122" spans="1:13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K122" t="s">
        <v>1237</v>
      </c>
      <c r="L122" t="s">
        <v>15</v>
      </c>
      <c r="M122" t="str">
        <f t="shared" si="1"/>
        <v>Adult</v>
      </c>
    </row>
    <row r="123" spans="1:13">
      <c r="A123">
        <v>122</v>
      </c>
      <c r="B123">
        <v>0</v>
      </c>
      <c r="C123">
        <v>3</v>
      </c>
      <c r="D123" t="s">
        <v>191</v>
      </c>
      <c r="E123" t="s">
        <v>13</v>
      </c>
      <c r="F123">
        <v>28</v>
      </c>
      <c r="G123">
        <v>0</v>
      </c>
      <c r="H123">
        <v>0</v>
      </c>
      <c r="I123" t="s">
        <v>192</v>
      </c>
      <c r="J123">
        <v>8.0500000000000007</v>
      </c>
      <c r="K123" t="s">
        <v>1237</v>
      </c>
      <c r="L123" t="s">
        <v>15</v>
      </c>
      <c r="M123" t="str">
        <f t="shared" si="1"/>
        <v>Adult</v>
      </c>
    </row>
    <row r="124" spans="1:13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K124" t="s">
        <v>1237</v>
      </c>
      <c r="L124" t="s">
        <v>20</v>
      </c>
      <c r="M124" t="str">
        <f t="shared" si="1"/>
        <v>Adult</v>
      </c>
    </row>
    <row r="125" spans="1:13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  <c r="M125" t="str">
        <f t="shared" si="1"/>
        <v>Adult</v>
      </c>
    </row>
    <row r="126" spans="1:13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  <c r="M126" t="str">
        <f t="shared" si="1"/>
        <v>Middle Age</v>
      </c>
    </row>
    <row r="127" spans="1:13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K127" t="s">
        <v>1237</v>
      </c>
      <c r="L127" t="s">
        <v>20</v>
      </c>
      <c r="M127" t="str">
        <f t="shared" si="1"/>
        <v>Child</v>
      </c>
    </row>
    <row r="128" spans="1:13">
      <c r="A128">
        <v>127</v>
      </c>
      <c r="B128">
        <v>0</v>
      </c>
      <c r="C128">
        <v>3</v>
      </c>
      <c r="D128" t="s">
        <v>198</v>
      </c>
      <c r="E128" t="s">
        <v>13</v>
      </c>
      <c r="F128">
        <v>28</v>
      </c>
      <c r="G128">
        <v>0</v>
      </c>
      <c r="H128">
        <v>0</v>
      </c>
      <c r="I128">
        <v>370372</v>
      </c>
      <c r="J128">
        <v>7.75</v>
      </c>
      <c r="K128" t="s">
        <v>1237</v>
      </c>
      <c r="L128" t="s">
        <v>27</v>
      </c>
      <c r="M128" t="str">
        <f t="shared" si="1"/>
        <v>Adult</v>
      </c>
    </row>
    <row r="129" spans="1:13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K129" t="s">
        <v>1237</v>
      </c>
      <c r="L129" t="s">
        <v>15</v>
      </c>
      <c r="M129" t="str">
        <f t="shared" si="1"/>
        <v>Adult</v>
      </c>
    </row>
    <row r="130" spans="1:13">
      <c r="A130">
        <v>129</v>
      </c>
      <c r="B130">
        <v>1</v>
      </c>
      <c r="C130">
        <v>3</v>
      </c>
      <c r="D130" t="s">
        <v>201</v>
      </c>
      <c r="E130" t="s">
        <v>17</v>
      </c>
      <c r="F130">
        <v>28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  <c r="M130" t="str">
        <f t="shared" ref="M130:M193" si="2">IF(F130&lt;13,"Child",IF(F130&lt;20,"Teenager",IF(F130&lt;40,"Adult",IF(F130&lt;60,"Middle Age","Senior"))))</f>
        <v>Adult</v>
      </c>
    </row>
    <row r="131" spans="1:13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K131" t="s">
        <v>1237</v>
      </c>
      <c r="L131" t="s">
        <v>15</v>
      </c>
      <c r="M131" t="str">
        <f t="shared" si="2"/>
        <v>Middle Age</v>
      </c>
    </row>
    <row r="132" spans="1:13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K132" t="s">
        <v>1237</v>
      </c>
      <c r="L132" t="s">
        <v>20</v>
      </c>
      <c r="M132" t="str">
        <f t="shared" si="2"/>
        <v>Adult</v>
      </c>
    </row>
    <row r="133" spans="1:13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K133" t="s">
        <v>1237</v>
      </c>
      <c r="L133" t="s">
        <v>15</v>
      </c>
      <c r="M133" t="str">
        <f t="shared" si="2"/>
        <v>Adult</v>
      </c>
    </row>
    <row r="134" spans="1:13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K134" t="s">
        <v>1237</v>
      </c>
      <c r="L134" t="s">
        <v>15</v>
      </c>
      <c r="M134" t="str">
        <f t="shared" si="2"/>
        <v>Middle Age</v>
      </c>
    </row>
    <row r="135" spans="1:13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K135" t="s">
        <v>1237</v>
      </c>
      <c r="L135" t="s">
        <v>15</v>
      </c>
      <c r="M135" t="str">
        <f t="shared" si="2"/>
        <v>Adult</v>
      </c>
    </row>
    <row r="136" spans="1:13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K136" t="s">
        <v>1237</v>
      </c>
      <c r="L136" t="s">
        <v>15</v>
      </c>
      <c r="M136" t="str">
        <f t="shared" si="2"/>
        <v>Adult</v>
      </c>
    </row>
    <row r="137" spans="1:13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K137" t="s">
        <v>1237</v>
      </c>
      <c r="L137" t="s">
        <v>20</v>
      </c>
      <c r="M137" t="str">
        <f t="shared" si="2"/>
        <v>Adult</v>
      </c>
    </row>
    <row r="138" spans="1:13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  <c r="M138" t="str">
        <f t="shared" si="2"/>
        <v>Teenager</v>
      </c>
    </row>
    <row r="139" spans="1:13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  <c r="M139" t="str">
        <f t="shared" si="2"/>
        <v>Adult</v>
      </c>
    </row>
    <row r="140" spans="1:13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K140" t="s">
        <v>1237</v>
      </c>
      <c r="L140" t="s">
        <v>15</v>
      </c>
      <c r="M140" t="str">
        <f t="shared" si="2"/>
        <v>Teenager</v>
      </c>
    </row>
    <row r="141" spans="1:13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  <c r="M141" t="str">
        <f t="shared" si="2"/>
        <v>Adult</v>
      </c>
    </row>
    <row r="142" spans="1:13">
      <c r="A142">
        <v>141</v>
      </c>
      <c r="B142">
        <v>0</v>
      </c>
      <c r="C142">
        <v>3</v>
      </c>
      <c r="D142" t="s">
        <v>221</v>
      </c>
      <c r="E142" t="s">
        <v>17</v>
      </c>
      <c r="F142">
        <v>28</v>
      </c>
      <c r="G142">
        <v>0</v>
      </c>
      <c r="H142">
        <v>2</v>
      </c>
      <c r="I142">
        <v>2678</v>
      </c>
      <c r="J142">
        <v>15.245799999999999</v>
      </c>
      <c r="K142" t="s">
        <v>1237</v>
      </c>
      <c r="L142" t="s">
        <v>20</v>
      </c>
      <c r="M142" t="str">
        <f t="shared" si="2"/>
        <v>Adult</v>
      </c>
    </row>
    <row r="143" spans="1:13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K143" t="s">
        <v>1237</v>
      </c>
      <c r="L143" t="s">
        <v>15</v>
      </c>
      <c r="M143" t="str">
        <f t="shared" si="2"/>
        <v>Adult</v>
      </c>
    </row>
    <row r="144" spans="1:13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K144" t="s">
        <v>1237</v>
      </c>
      <c r="L144" t="s">
        <v>15</v>
      </c>
      <c r="M144" t="str">
        <f t="shared" si="2"/>
        <v>Adult</v>
      </c>
    </row>
    <row r="145" spans="1:13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K145" t="s">
        <v>1237</v>
      </c>
      <c r="L145" t="s">
        <v>27</v>
      </c>
      <c r="M145" t="str">
        <f t="shared" si="2"/>
        <v>Teenager</v>
      </c>
    </row>
    <row r="146" spans="1:13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K146" t="s">
        <v>1237</v>
      </c>
      <c r="L146" t="s">
        <v>15</v>
      </c>
      <c r="M146" t="str">
        <f t="shared" si="2"/>
        <v>Teenager</v>
      </c>
    </row>
    <row r="147" spans="1:13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K147" t="s">
        <v>1237</v>
      </c>
      <c r="L147" t="s">
        <v>15</v>
      </c>
      <c r="M147" t="str">
        <f t="shared" si="2"/>
        <v>Teenager</v>
      </c>
    </row>
    <row r="148" spans="1:13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K148" t="s">
        <v>1237</v>
      </c>
      <c r="L148" t="s">
        <v>15</v>
      </c>
      <c r="M148" t="str">
        <f t="shared" si="2"/>
        <v>Adult</v>
      </c>
    </row>
    <row r="149" spans="1:13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K149" t="s">
        <v>1237</v>
      </c>
      <c r="L149" t="s">
        <v>15</v>
      </c>
      <c r="M149" t="str">
        <f t="shared" si="2"/>
        <v>Child</v>
      </c>
    </row>
    <row r="150" spans="1:13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  <c r="M150" t="str">
        <f t="shared" si="2"/>
        <v>Adult</v>
      </c>
    </row>
    <row r="151" spans="1:13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K151" t="s">
        <v>1237</v>
      </c>
      <c r="L151" t="s">
        <v>15</v>
      </c>
      <c r="M151" t="str">
        <f t="shared" si="2"/>
        <v>Middle Age</v>
      </c>
    </row>
    <row r="152" spans="1:13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K152" t="s">
        <v>1237</v>
      </c>
      <c r="L152" t="s">
        <v>15</v>
      </c>
      <c r="M152" t="str">
        <f t="shared" si="2"/>
        <v>Middle Age</v>
      </c>
    </row>
    <row r="153" spans="1:13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  <c r="M153" t="str">
        <f t="shared" si="2"/>
        <v>Adult</v>
      </c>
    </row>
    <row r="154" spans="1:13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K154" t="s">
        <v>1237</v>
      </c>
      <c r="L154" t="s">
        <v>15</v>
      </c>
      <c r="M154" t="str">
        <f t="shared" si="2"/>
        <v>Middle Age</v>
      </c>
    </row>
    <row r="155" spans="1:13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K155" t="s">
        <v>1237</v>
      </c>
      <c r="L155" t="s">
        <v>15</v>
      </c>
      <c r="M155" t="str">
        <f t="shared" si="2"/>
        <v>Middle Age</v>
      </c>
    </row>
    <row r="156" spans="1:13">
      <c r="A156">
        <v>155</v>
      </c>
      <c r="B156">
        <v>0</v>
      </c>
      <c r="C156">
        <v>3</v>
      </c>
      <c r="D156" t="s">
        <v>242</v>
      </c>
      <c r="E156" t="s">
        <v>13</v>
      </c>
      <c r="F156">
        <v>28</v>
      </c>
      <c r="G156">
        <v>0</v>
      </c>
      <c r="H156">
        <v>0</v>
      </c>
      <c r="I156" t="s">
        <v>243</v>
      </c>
      <c r="J156">
        <v>7.3125</v>
      </c>
      <c r="K156" t="s">
        <v>1237</v>
      </c>
      <c r="L156" t="s">
        <v>15</v>
      </c>
      <c r="M156" t="str">
        <f t="shared" si="2"/>
        <v>Adult</v>
      </c>
    </row>
    <row r="157" spans="1:13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K157" t="s">
        <v>1237</v>
      </c>
      <c r="L157" t="s">
        <v>20</v>
      </c>
      <c r="M157" t="str">
        <f t="shared" si="2"/>
        <v>Middle Age</v>
      </c>
    </row>
    <row r="158" spans="1:13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K158" t="s">
        <v>1237</v>
      </c>
      <c r="L158" t="s">
        <v>27</v>
      </c>
      <c r="M158" t="str">
        <f t="shared" si="2"/>
        <v>Teenager</v>
      </c>
    </row>
    <row r="159" spans="1:13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K159" t="s">
        <v>1237</v>
      </c>
      <c r="L159" t="s">
        <v>15</v>
      </c>
      <c r="M159" t="str">
        <f t="shared" si="2"/>
        <v>Adult</v>
      </c>
    </row>
    <row r="160" spans="1:13">
      <c r="A160">
        <v>159</v>
      </c>
      <c r="B160">
        <v>0</v>
      </c>
      <c r="C160">
        <v>3</v>
      </c>
      <c r="D160" t="s">
        <v>249</v>
      </c>
      <c r="E160" t="s">
        <v>13</v>
      </c>
      <c r="F160">
        <v>28</v>
      </c>
      <c r="G160">
        <v>0</v>
      </c>
      <c r="H160">
        <v>0</v>
      </c>
      <c r="I160">
        <v>315037</v>
      </c>
      <c r="J160">
        <v>8.6624999999999996</v>
      </c>
      <c r="K160" t="s">
        <v>1237</v>
      </c>
      <c r="L160" t="s">
        <v>15</v>
      </c>
      <c r="M160" t="str">
        <f t="shared" si="2"/>
        <v>Adult</v>
      </c>
    </row>
    <row r="161" spans="1:13">
      <c r="A161">
        <v>160</v>
      </c>
      <c r="B161">
        <v>0</v>
      </c>
      <c r="C161">
        <v>3</v>
      </c>
      <c r="D161" t="s">
        <v>250</v>
      </c>
      <c r="E161" t="s">
        <v>13</v>
      </c>
      <c r="F161">
        <v>28</v>
      </c>
      <c r="G161">
        <v>8</v>
      </c>
      <c r="H161">
        <v>2</v>
      </c>
      <c r="I161" t="s">
        <v>251</v>
      </c>
      <c r="J161">
        <v>69.55</v>
      </c>
      <c r="K161" t="s">
        <v>1237</v>
      </c>
      <c r="L161" t="s">
        <v>15</v>
      </c>
      <c r="M161" t="str">
        <f t="shared" si="2"/>
        <v>Adult</v>
      </c>
    </row>
    <row r="162" spans="1:13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K162" t="s">
        <v>1237</v>
      </c>
      <c r="L162" t="s">
        <v>15</v>
      </c>
      <c r="M162" t="str">
        <f t="shared" si="2"/>
        <v>Middle Age</v>
      </c>
    </row>
    <row r="163" spans="1:13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K163" t="s">
        <v>1237</v>
      </c>
      <c r="L163" t="s">
        <v>15</v>
      </c>
      <c r="M163" t="str">
        <f t="shared" si="2"/>
        <v>Middle Age</v>
      </c>
    </row>
    <row r="164" spans="1:13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K164" t="s">
        <v>1237</v>
      </c>
      <c r="L164" t="s">
        <v>15</v>
      </c>
      <c r="M164" t="str">
        <f t="shared" si="2"/>
        <v>Adult</v>
      </c>
    </row>
    <row r="165" spans="1:13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K165" t="s">
        <v>1237</v>
      </c>
      <c r="L165" t="s">
        <v>15</v>
      </c>
      <c r="M165" t="str">
        <f t="shared" si="2"/>
        <v>Teenager</v>
      </c>
    </row>
    <row r="166" spans="1:13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K166" t="s">
        <v>1237</v>
      </c>
      <c r="L166" t="s">
        <v>15</v>
      </c>
      <c r="M166" t="str">
        <f t="shared" si="2"/>
        <v>Child</v>
      </c>
    </row>
    <row r="167" spans="1:13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K167" t="s">
        <v>1237</v>
      </c>
      <c r="L167" t="s">
        <v>15</v>
      </c>
      <c r="M167" t="str">
        <f t="shared" si="2"/>
        <v>Child</v>
      </c>
    </row>
    <row r="168" spans="1:13">
      <c r="A168">
        <v>167</v>
      </c>
      <c r="B168">
        <v>1</v>
      </c>
      <c r="C168">
        <v>1</v>
      </c>
      <c r="D168" t="s">
        <v>259</v>
      </c>
      <c r="E168" t="s">
        <v>17</v>
      </c>
      <c r="F168">
        <v>28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  <c r="M168" t="str">
        <f t="shared" si="2"/>
        <v>Adult</v>
      </c>
    </row>
    <row r="169" spans="1:13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K169" t="s">
        <v>1237</v>
      </c>
      <c r="L169" t="s">
        <v>15</v>
      </c>
      <c r="M169" t="str">
        <f t="shared" si="2"/>
        <v>Middle Age</v>
      </c>
    </row>
    <row r="170" spans="1:13">
      <c r="A170">
        <v>169</v>
      </c>
      <c r="B170">
        <v>0</v>
      </c>
      <c r="C170">
        <v>1</v>
      </c>
      <c r="D170" t="s">
        <v>262</v>
      </c>
      <c r="E170" t="s">
        <v>13</v>
      </c>
      <c r="F170">
        <v>28</v>
      </c>
      <c r="G170">
        <v>0</v>
      </c>
      <c r="H170">
        <v>0</v>
      </c>
      <c r="I170" t="s">
        <v>263</v>
      </c>
      <c r="J170">
        <v>25.925000000000001</v>
      </c>
      <c r="K170" t="s">
        <v>1237</v>
      </c>
      <c r="L170" t="s">
        <v>15</v>
      </c>
      <c r="M170" t="str">
        <f t="shared" si="2"/>
        <v>Adult</v>
      </c>
    </row>
    <row r="171" spans="1:13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K171" t="s">
        <v>1237</v>
      </c>
      <c r="L171" t="s">
        <v>15</v>
      </c>
      <c r="M171" t="str">
        <f t="shared" si="2"/>
        <v>Adult</v>
      </c>
    </row>
    <row r="172" spans="1:13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  <c r="M172" t="str">
        <f t="shared" si="2"/>
        <v>Senior</v>
      </c>
    </row>
    <row r="173" spans="1:13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K173" t="s">
        <v>1237</v>
      </c>
      <c r="L173" t="s">
        <v>27</v>
      </c>
      <c r="M173" t="str">
        <f t="shared" si="2"/>
        <v>Child</v>
      </c>
    </row>
    <row r="174" spans="1:13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K174" t="s">
        <v>1237</v>
      </c>
      <c r="L174" t="s">
        <v>15</v>
      </c>
      <c r="M174" t="str">
        <f t="shared" si="2"/>
        <v>Child</v>
      </c>
    </row>
    <row r="175" spans="1:13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K175" t="s">
        <v>1237</v>
      </c>
      <c r="L175" t="s">
        <v>15</v>
      </c>
      <c r="M175" t="str">
        <f t="shared" si="2"/>
        <v>Adult</v>
      </c>
    </row>
    <row r="176" spans="1:13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  <c r="M176" t="str">
        <f t="shared" si="2"/>
        <v>Middle Age</v>
      </c>
    </row>
    <row r="177" spans="1:13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K177" t="s">
        <v>1237</v>
      </c>
      <c r="L177" t="s">
        <v>15</v>
      </c>
      <c r="M177" t="str">
        <f t="shared" si="2"/>
        <v>Teenager</v>
      </c>
    </row>
    <row r="178" spans="1:13">
      <c r="A178">
        <v>177</v>
      </c>
      <c r="B178">
        <v>0</v>
      </c>
      <c r="C178">
        <v>3</v>
      </c>
      <c r="D178" t="s">
        <v>274</v>
      </c>
      <c r="E178" t="s">
        <v>13</v>
      </c>
      <c r="F178">
        <v>28</v>
      </c>
      <c r="G178">
        <v>3</v>
      </c>
      <c r="H178">
        <v>1</v>
      </c>
      <c r="I178">
        <v>4133</v>
      </c>
      <c r="J178">
        <v>25.466699999999999</v>
      </c>
      <c r="K178" t="s">
        <v>1237</v>
      </c>
      <c r="L178" t="s">
        <v>15</v>
      </c>
      <c r="M178" t="str">
        <f t="shared" si="2"/>
        <v>Adult</v>
      </c>
    </row>
    <row r="179" spans="1:13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  <c r="M179" t="str">
        <f t="shared" si="2"/>
        <v>Middle Age</v>
      </c>
    </row>
    <row r="180" spans="1:13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K180" t="s">
        <v>1237</v>
      </c>
      <c r="L180" t="s">
        <v>15</v>
      </c>
      <c r="M180" t="str">
        <f t="shared" si="2"/>
        <v>Adult</v>
      </c>
    </row>
    <row r="181" spans="1:13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K181" t="s">
        <v>1237</v>
      </c>
      <c r="L181" t="s">
        <v>15</v>
      </c>
      <c r="M181" t="str">
        <f t="shared" si="2"/>
        <v>Adult</v>
      </c>
    </row>
    <row r="182" spans="1:13">
      <c r="A182">
        <v>181</v>
      </c>
      <c r="B182">
        <v>0</v>
      </c>
      <c r="C182">
        <v>3</v>
      </c>
      <c r="D182" t="s">
        <v>281</v>
      </c>
      <c r="E182" t="s">
        <v>17</v>
      </c>
      <c r="F182">
        <v>28</v>
      </c>
      <c r="G182">
        <v>8</v>
      </c>
      <c r="H182">
        <v>2</v>
      </c>
      <c r="I182" t="s">
        <v>251</v>
      </c>
      <c r="J182">
        <v>69.55</v>
      </c>
      <c r="K182" t="s">
        <v>1237</v>
      </c>
      <c r="L182" t="s">
        <v>15</v>
      </c>
      <c r="M182" t="str">
        <f t="shared" si="2"/>
        <v>Adult</v>
      </c>
    </row>
    <row r="183" spans="1:13">
      <c r="A183">
        <v>182</v>
      </c>
      <c r="B183">
        <v>0</v>
      </c>
      <c r="C183">
        <v>2</v>
      </c>
      <c r="D183" t="s">
        <v>282</v>
      </c>
      <c r="E183" t="s">
        <v>13</v>
      </c>
      <c r="F183">
        <v>28</v>
      </c>
      <c r="G183">
        <v>0</v>
      </c>
      <c r="H183">
        <v>0</v>
      </c>
      <c r="I183" t="s">
        <v>283</v>
      </c>
      <c r="J183">
        <v>15.05</v>
      </c>
      <c r="K183" t="s">
        <v>1237</v>
      </c>
      <c r="L183" t="s">
        <v>20</v>
      </c>
      <c r="M183" t="str">
        <f t="shared" si="2"/>
        <v>Adult</v>
      </c>
    </row>
    <row r="184" spans="1:13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K184" t="s">
        <v>1237</v>
      </c>
      <c r="L184" t="s">
        <v>15</v>
      </c>
      <c r="M184" t="str">
        <f t="shared" si="2"/>
        <v>Child</v>
      </c>
    </row>
    <row r="185" spans="1:13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  <c r="M185" t="str">
        <f t="shared" si="2"/>
        <v>Child</v>
      </c>
    </row>
    <row r="186" spans="1:13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K186" t="s">
        <v>1237</v>
      </c>
      <c r="L186" t="s">
        <v>15</v>
      </c>
      <c r="M186" t="str">
        <f t="shared" si="2"/>
        <v>Child</v>
      </c>
    </row>
    <row r="187" spans="1:13">
      <c r="A187">
        <v>186</v>
      </c>
      <c r="B187">
        <v>0</v>
      </c>
      <c r="C187">
        <v>1</v>
      </c>
      <c r="D187" t="s">
        <v>288</v>
      </c>
      <c r="E187" t="s">
        <v>13</v>
      </c>
      <c r="F187">
        <v>28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  <c r="M187" t="str">
        <f t="shared" si="2"/>
        <v>Adult</v>
      </c>
    </row>
    <row r="188" spans="1:13">
      <c r="A188">
        <v>187</v>
      </c>
      <c r="B188">
        <v>1</v>
      </c>
      <c r="C188">
        <v>3</v>
      </c>
      <c r="D188" t="s">
        <v>290</v>
      </c>
      <c r="E188" t="s">
        <v>17</v>
      </c>
      <c r="F188">
        <v>28</v>
      </c>
      <c r="G188">
        <v>1</v>
      </c>
      <c r="H188">
        <v>0</v>
      </c>
      <c r="I188">
        <v>370365</v>
      </c>
      <c r="J188">
        <v>15.5</v>
      </c>
      <c r="K188" t="s">
        <v>1237</v>
      </c>
      <c r="L188" t="s">
        <v>27</v>
      </c>
      <c r="M188" t="str">
        <f t="shared" si="2"/>
        <v>Adult</v>
      </c>
    </row>
    <row r="189" spans="1:13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K189" t="s">
        <v>1237</v>
      </c>
      <c r="L189" t="s">
        <v>15</v>
      </c>
      <c r="M189" t="str">
        <f t="shared" si="2"/>
        <v>Middle Age</v>
      </c>
    </row>
    <row r="190" spans="1:13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K190" t="s">
        <v>1237</v>
      </c>
      <c r="L190" t="s">
        <v>27</v>
      </c>
      <c r="M190" t="str">
        <f t="shared" si="2"/>
        <v>Middle Age</v>
      </c>
    </row>
    <row r="191" spans="1:13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K191" t="s">
        <v>1237</v>
      </c>
      <c r="L191" t="s">
        <v>15</v>
      </c>
      <c r="M191" t="str">
        <f t="shared" si="2"/>
        <v>Adult</v>
      </c>
    </row>
    <row r="192" spans="1:13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K192" t="s">
        <v>1237</v>
      </c>
      <c r="L192" t="s">
        <v>15</v>
      </c>
      <c r="M192" t="str">
        <f t="shared" si="2"/>
        <v>Adult</v>
      </c>
    </row>
    <row r="193" spans="1:13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K193" t="s">
        <v>1237</v>
      </c>
      <c r="L193" t="s">
        <v>15</v>
      </c>
      <c r="M193" t="str">
        <f t="shared" si="2"/>
        <v>Teenager</v>
      </c>
    </row>
    <row r="194" spans="1:13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K194" t="s">
        <v>1237</v>
      </c>
      <c r="L194" t="s">
        <v>15</v>
      </c>
      <c r="M194" t="str">
        <f t="shared" ref="M194:M257" si="3">IF(F194&lt;13,"Child",IF(F194&lt;20,"Teenager",IF(F194&lt;40,"Adult",IF(F194&lt;60,"Middle Age","Senior"))))</f>
        <v>Teenager</v>
      </c>
    </row>
    <row r="195" spans="1:13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  <c r="M195" t="str">
        <f t="shared" si="3"/>
        <v>Child</v>
      </c>
    </row>
    <row r="196" spans="1:13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  <c r="M196" t="str">
        <f t="shared" si="3"/>
        <v>Middle Age</v>
      </c>
    </row>
    <row r="197" spans="1:13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  <c r="M197" t="str">
        <f t="shared" si="3"/>
        <v>Middle Age</v>
      </c>
    </row>
    <row r="198" spans="1:13">
      <c r="A198">
        <v>197</v>
      </c>
      <c r="B198">
        <v>0</v>
      </c>
      <c r="C198">
        <v>3</v>
      </c>
      <c r="D198" t="s">
        <v>303</v>
      </c>
      <c r="E198" t="s">
        <v>13</v>
      </c>
      <c r="F198">
        <v>28</v>
      </c>
      <c r="G198">
        <v>0</v>
      </c>
      <c r="H198">
        <v>0</v>
      </c>
      <c r="I198">
        <v>368703</v>
      </c>
      <c r="J198">
        <v>7.75</v>
      </c>
      <c r="K198" t="s">
        <v>1237</v>
      </c>
      <c r="L198" t="s">
        <v>27</v>
      </c>
      <c r="M198" t="str">
        <f t="shared" si="3"/>
        <v>Adult</v>
      </c>
    </row>
    <row r="199" spans="1:13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K199" t="s">
        <v>1237</v>
      </c>
      <c r="L199" t="s">
        <v>15</v>
      </c>
      <c r="M199" t="str">
        <f t="shared" si="3"/>
        <v>Middle Age</v>
      </c>
    </row>
    <row r="200" spans="1:13">
      <c r="A200">
        <v>199</v>
      </c>
      <c r="B200">
        <v>1</v>
      </c>
      <c r="C200">
        <v>3</v>
      </c>
      <c r="D200" t="s">
        <v>305</v>
      </c>
      <c r="E200" t="s">
        <v>17</v>
      </c>
      <c r="F200">
        <v>28</v>
      </c>
      <c r="G200">
        <v>0</v>
      </c>
      <c r="H200">
        <v>0</v>
      </c>
      <c r="I200">
        <v>370370</v>
      </c>
      <c r="J200">
        <v>7.75</v>
      </c>
      <c r="K200" t="s">
        <v>1237</v>
      </c>
      <c r="L200" t="s">
        <v>27</v>
      </c>
      <c r="M200" t="str">
        <f t="shared" si="3"/>
        <v>Adult</v>
      </c>
    </row>
    <row r="201" spans="1:13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K201" t="s">
        <v>1237</v>
      </c>
      <c r="L201" t="s">
        <v>15</v>
      </c>
      <c r="M201" t="str">
        <f t="shared" si="3"/>
        <v>Adult</v>
      </c>
    </row>
    <row r="202" spans="1:13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K202" t="s">
        <v>1237</v>
      </c>
      <c r="L202" t="s">
        <v>15</v>
      </c>
      <c r="M202" t="str">
        <f t="shared" si="3"/>
        <v>Adult</v>
      </c>
    </row>
    <row r="203" spans="1:13">
      <c r="A203">
        <v>202</v>
      </c>
      <c r="B203">
        <v>0</v>
      </c>
      <c r="C203">
        <v>3</v>
      </c>
      <c r="D203" t="s">
        <v>308</v>
      </c>
      <c r="E203" t="s">
        <v>13</v>
      </c>
      <c r="F203">
        <v>28</v>
      </c>
      <c r="G203">
        <v>8</v>
      </c>
      <c r="H203">
        <v>2</v>
      </c>
      <c r="I203" t="s">
        <v>251</v>
      </c>
      <c r="J203">
        <v>69.55</v>
      </c>
      <c r="K203" t="s">
        <v>1237</v>
      </c>
      <c r="L203" t="s">
        <v>15</v>
      </c>
      <c r="M203" t="str">
        <f t="shared" si="3"/>
        <v>Adult</v>
      </c>
    </row>
    <row r="204" spans="1:13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K204" t="s">
        <v>1237</v>
      </c>
      <c r="L204" t="s">
        <v>15</v>
      </c>
      <c r="M204" t="str">
        <f t="shared" si="3"/>
        <v>Adult</v>
      </c>
    </row>
    <row r="205" spans="1:13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K205" t="s">
        <v>1237</v>
      </c>
      <c r="L205" t="s">
        <v>20</v>
      </c>
      <c r="M205" t="str">
        <f t="shared" si="3"/>
        <v>Middle Age</v>
      </c>
    </row>
    <row r="206" spans="1:13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K206" t="s">
        <v>1237</v>
      </c>
      <c r="L206" t="s">
        <v>15</v>
      </c>
      <c r="M206" t="str">
        <f t="shared" si="3"/>
        <v>Teenager</v>
      </c>
    </row>
    <row r="207" spans="1:13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  <c r="M207" t="str">
        <f t="shared" si="3"/>
        <v>Child</v>
      </c>
    </row>
    <row r="208" spans="1:13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K208" t="s">
        <v>1237</v>
      </c>
      <c r="L208" t="s">
        <v>15</v>
      </c>
      <c r="M208" t="str">
        <f t="shared" si="3"/>
        <v>Adult</v>
      </c>
    </row>
    <row r="209" spans="1:13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K209" t="s">
        <v>1237</v>
      </c>
      <c r="L209" t="s">
        <v>20</v>
      </c>
      <c r="M209" t="str">
        <f t="shared" si="3"/>
        <v>Adult</v>
      </c>
    </row>
    <row r="210" spans="1:13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K210" t="s">
        <v>1237</v>
      </c>
      <c r="L210" t="s">
        <v>27</v>
      </c>
      <c r="M210" t="str">
        <f t="shared" si="3"/>
        <v>Teenager</v>
      </c>
    </row>
    <row r="211" spans="1:13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  <c r="M211" t="str">
        <f t="shared" si="3"/>
        <v>Middle Age</v>
      </c>
    </row>
    <row r="212" spans="1:13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K212" t="s">
        <v>1237</v>
      </c>
      <c r="L212" t="s">
        <v>15</v>
      </c>
      <c r="M212" t="str">
        <f t="shared" si="3"/>
        <v>Adult</v>
      </c>
    </row>
    <row r="213" spans="1:13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K213" t="s">
        <v>1237</v>
      </c>
      <c r="L213" t="s">
        <v>15</v>
      </c>
      <c r="M213" t="str">
        <f t="shared" si="3"/>
        <v>Adult</v>
      </c>
    </row>
    <row r="214" spans="1:13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K214" t="s">
        <v>1237</v>
      </c>
      <c r="L214" t="s">
        <v>15</v>
      </c>
      <c r="M214" t="str">
        <f t="shared" si="3"/>
        <v>Adult</v>
      </c>
    </row>
    <row r="215" spans="1:13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K215" t="s">
        <v>1237</v>
      </c>
      <c r="L215" t="s">
        <v>15</v>
      </c>
      <c r="M215" t="str">
        <f t="shared" si="3"/>
        <v>Adult</v>
      </c>
    </row>
    <row r="216" spans="1:13">
      <c r="A216">
        <v>215</v>
      </c>
      <c r="B216">
        <v>0</v>
      </c>
      <c r="C216">
        <v>3</v>
      </c>
      <c r="D216" t="s">
        <v>326</v>
      </c>
      <c r="E216" t="s">
        <v>13</v>
      </c>
      <c r="F216">
        <v>28</v>
      </c>
      <c r="G216">
        <v>1</v>
      </c>
      <c r="H216">
        <v>0</v>
      </c>
      <c r="I216">
        <v>367229</v>
      </c>
      <c r="J216">
        <v>7.75</v>
      </c>
      <c r="K216" t="s">
        <v>1237</v>
      </c>
      <c r="L216" t="s">
        <v>27</v>
      </c>
      <c r="M216" t="str">
        <f t="shared" si="3"/>
        <v>Adult</v>
      </c>
    </row>
    <row r="217" spans="1:13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  <c r="M217" t="str">
        <f t="shared" si="3"/>
        <v>Adult</v>
      </c>
    </row>
    <row r="218" spans="1:13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K218" t="s">
        <v>1237</v>
      </c>
      <c r="L218" t="s">
        <v>15</v>
      </c>
      <c r="M218" t="str">
        <f t="shared" si="3"/>
        <v>Adult</v>
      </c>
    </row>
    <row r="219" spans="1:13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K219" t="s">
        <v>1237</v>
      </c>
      <c r="L219" t="s">
        <v>15</v>
      </c>
      <c r="M219" t="str">
        <f t="shared" si="3"/>
        <v>Middle Age</v>
      </c>
    </row>
    <row r="220" spans="1:13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  <c r="M220" t="str">
        <f t="shared" si="3"/>
        <v>Adult</v>
      </c>
    </row>
    <row r="221" spans="1:13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K221" t="s">
        <v>1237</v>
      </c>
      <c r="L221" t="s">
        <v>15</v>
      </c>
      <c r="M221" t="str">
        <f t="shared" si="3"/>
        <v>Adult</v>
      </c>
    </row>
    <row r="222" spans="1:13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K222" t="s">
        <v>1237</v>
      </c>
      <c r="L222" t="s">
        <v>15</v>
      </c>
      <c r="M222" t="str">
        <f t="shared" si="3"/>
        <v>Teenager</v>
      </c>
    </row>
    <row r="223" spans="1:13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K223" t="s">
        <v>1237</v>
      </c>
      <c r="L223" t="s">
        <v>15</v>
      </c>
      <c r="M223" t="str">
        <f t="shared" si="3"/>
        <v>Adult</v>
      </c>
    </row>
    <row r="224" spans="1:13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K224" t="s">
        <v>1237</v>
      </c>
      <c r="L224" t="s">
        <v>15</v>
      </c>
      <c r="M224" t="str">
        <f t="shared" si="3"/>
        <v>Middle Age</v>
      </c>
    </row>
    <row r="225" spans="1:13">
      <c r="A225">
        <v>224</v>
      </c>
      <c r="B225">
        <v>0</v>
      </c>
      <c r="C225">
        <v>3</v>
      </c>
      <c r="D225" t="s">
        <v>340</v>
      </c>
      <c r="E225" t="s">
        <v>13</v>
      </c>
      <c r="F225">
        <v>28</v>
      </c>
      <c r="G225">
        <v>0</v>
      </c>
      <c r="H225">
        <v>0</v>
      </c>
      <c r="I225">
        <v>349234</v>
      </c>
      <c r="J225">
        <v>7.8958000000000004</v>
      </c>
      <c r="K225" t="s">
        <v>1237</v>
      </c>
      <c r="L225" t="s">
        <v>15</v>
      </c>
      <c r="M225" t="str">
        <f t="shared" si="3"/>
        <v>Adult</v>
      </c>
    </row>
    <row r="226" spans="1:13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  <c r="M226" t="str">
        <f t="shared" si="3"/>
        <v>Adult</v>
      </c>
    </row>
    <row r="227" spans="1:13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K227" t="s">
        <v>1237</v>
      </c>
      <c r="L227" t="s">
        <v>15</v>
      </c>
      <c r="M227" t="str">
        <f t="shared" si="3"/>
        <v>Adult</v>
      </c>
    </row>
    <row r="228" spans="1:13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K228" t="s">
        <v>1237</v>
      </c>
      <c r="L228" t="s">
        <v>15</v>
      </c>
      <c r="M228" t="str">
        <f t="shared" si="3"/>
        <v>Teenager</v>
      </c>
    </row>
    <row r="229" spans="1:13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K229" t="s">
        <v>1237</v>
      </c>
      <c r="L229" t="s">
        <v>15</v>
      </c>
      <c r="M229" t="str">
        <f t="shared" si="3"/>
        <v>Adult</v>
      </c>
    </row>
    <row r="230" spans="1:13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K230" t="s">
        <v>1237</v>
      </c>
      <c r="L230" t="s">
        <v>15</v>
      </c>
      <c r="M230" t="str">
        <f t="shared" si="3"/>
        <v>Teenager</v>
      </c>
    </row>
    <row r="231" spans="1:13">
      <c r="A231">
        <v>230</v>
      </c>
      <c r="B231">
        <v>0</v>
      </c>
      <c r="C231">
        <v>3</v>
      </c>
      <c r="D231" t="s">
        <v>350</v>
      </c>
      <c r="E231" t="s">
        <v>17</v>
      </c>
      <c r="F231">
        <v>28</v>
      </c>
      <c r="G231">
        <v>3</v>
      </c>
      <c r="H231">
        <v>1</v>
      </c>
      <c r="I231">
        <v>4133</v>
      </c>
      <c r="J231">
        <v>25.466699999999999</v>
      </c>
      <c r="K231" t="s">
        <v>1237</v>
      </c>
      <c r="L231" t="s">
        <v>15</v>
      </c>
      <c r="M231" t="str">
        <f t="shared" si="3"/>
        <v>Adult</v>
      </c>
    </row>
    <row r="232" spans="1:13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  <c r="M232" t="str">
        <f t="shared" si="3"/>
        <v>Adult</v>
      </c>
    </row>
    <row r="233" spans="1:13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K233" t="s">
        <v>1237</v>
      </c>
      <c r="L233" t="s">
        <v>15</v>
      </c>
      <c r="M233" t="str">
        <f t="shared" si="3"/>
        <v>Adult</v>
      </c>
    </row>
    <row r="234" spans="1:13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K234" t="s">
        <v>1237</v>
      </c>
      <c r="L234" t="s">
        <v>15</v>
      </c>
      <c r="M234" t="str">
        <f t="shared" si="3"/>
        <v>Middle Age</v>
      </c>
    </row>
    <row r="235" spans="1:13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K235" t="s">
        <v>1237</v>
      </c>
      <c r="L235" t="s">
        <v>15</v>
      </c>
      <c r="M235" t="str">
        <f t="shared" si="3"/>
        <v>Child</v>
      </c>
    </row>
    <row r="236" spans="1:13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K236" t="s">
        <v>1237</v>
      </c>
      <c r="L236" t="s">
        <v>15</v>
      </c>
      <c r="M236" t="str">
        <f t="shared" si="3"/>
        <v>Adult</v>
      </c>
    </row>
    <row r="237" spans="1:13">
      <c r="A237">
        <v>236</v>
      </c>
      <c r="B237">
        <v>0</v>
      </c>
      <c r="C237">
        <v>3</v>
      </c>
      <c r="D237" t="s">
        <v>357</v>
      </c>
      <c r="E237" t="s">
        <v>17</v>
      </c>
      <c r="F237">
        <v>28</v>
      </c>
      <c r="G237">
        <v>0</v>
      </c>
      <c r="H237">
        <v>0</v>
      </c>
      <c r="I237" t="s">
        <v>358</v>
      </c>
      <c r="J237">
        <v>7.55</v>
      </c>
      <c r="K237" t="s">
        <v>1237</v>
      </c>
      <c r="L237" t="s">
        <v>15</v>
      </c>
      <c r="M237" t="str">
        <f t="shared" si="3"/>
        <v>Adult</v>
      </c>
    </row>
    <row r="238" spans="1:13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K238" t="s">
        <v>1237</v>
      </c>
      <c r="L238" t="s">
        <v>15</v>
      </c>
      <c r="M238" t="str">
        <f t="shared" si="3"/>
        <v>Middle Age</v>
      </c>
    </row>
    <row r="239" spans="1:13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K239" t="s">
        <v>1237</v>
      </c>
      <c r="L239" t="s">
        <v>15</v>
      </c>
      <c r="M239" t="str">
        <f t="shared" si="3"/>
        <v>Child</v>
      </c>
    </row>
    <row r="240" spans="1:13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K240" t="s">
        <v>1237</v>
      </c>
      <c r="L240" t="s">
        <v>15</v>
      </c>
      <c r="M240" t="str">
        <f t="shared" si="3"/>
        <v>Teenager</v>
      </c>
    </row>
    <row r="241" spans="1:13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K241" t="s">
        <v>1237</v>
      </c>
      <c r="L241" t="s">
        <v>15</v>
      </c>
      <c r="M241" t="str">
        <f t="shared" si="3"/>
        <v>Adult</v>
      </c>
    </row>
    <row r="242" spans="1:13">
      <c r="A242">
        <v>241</v>
      </c>
      <c r="B242">
        <v>0</v>
      </c>
      <c r="C242">
        <v>3</v>
      </c>
      <c r="D242" t="s">
        <v>365</v>
      </c>
      <c r="E242" t="s">
        <v>17</v>
      </c>
      <c r="F242">
        <v>28</v>
      </c>
      <c r="G242">
        <v>1</v>
      </c>
      <c r="H242">
        <v>0</v>
      </c>
      <c r="I242">
        <v>2665</v>
      </c>
      <c r="J242">
        <v>14.4542</v>
      </c>
      <c r="K242" t="s">
        <v>1237</v>
      </c>
      <c r="L242" t="s">
        <v>20</v>
      </c>
      <c r="M242" t="str">
        <f t="shared" si="3"/>
        <v>Adult</v>
      </c>
    </row>
    <row r="243" spans="1:13">
      <c r="A243">
        <v>242</v>
      </c>
      <c r="B243">
        <v>1</v>
      </c>
      <c r="C243">
        <v>3</v>
      </c>
      <c r="D243" t="s">
        <v>366</v>
      </c>
      <c r="E243" t="s">
        <v>17</v>
      </c>
      <c r="F243">
        <v>28</v>
      </c>
      <c r="G243">
        <v>1</v>
      </c>
      <c r="H243">
        <v>0</v>
      </c>
      <c r="I243">
        <v>367230</v>
      </c>
      <c r="J243">
        <v>15.5</v>
      </c>
      <c r="K243" t="s">
        <v>1237</v>
      </c>
      <c r="L243" t="s">
        <v>27</v>
      </c>
      <c r="M243" t="str">
        <f t="shared" si="3"/>
        <v>Adult</v>
      </c>
    </row>
    <row r="244" spans="1:13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K244" t="s">
        <v>1237</v>
      </c>
      <c r="L244" t="s">
        <v>15</v>
      </c>
      <c r="M244" t="str">
        <f t="shared" si="3"/>
        <v>Adult</v>
      </c>
    </row>
    <row r="245" spans="1:13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K245" t="s">
        <v>1237</v>
      </c>
      <c r="L245" t="s">
        <v>15</v>
      </c>
      <c r="M245" t="str">
        <f t="shared" si="3"/>
        <v>Adult</v>
      </c>
    </row>
    <row r="246" spans="1:13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K246" t="s">
        <v>1237</v>
      </c>
      <c r="L246" t="s">
        <v>20</v>
      </c>
      <c r="M246" t="str">
        <f t="shared" si="3"/>
        <v>Adult</v>
      </c>
    </row>
    <row r="247" spans="1:13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  <c r="M247" t="str">
        <f t="shared" si="3"/>
        <v>Middle Age</v>
      </c>
    </row>
    <row r="248" spans="1:13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K248" t="s">
        <v>1237</v>
      </c>
      <c r="L248" t="s">
        <v>15</v>
      </c>
      <c r="M248" t="str">
        <f t="shared" si="3"/>
        <v>Adult</v>
      </c>
    </row>
    <row r="249" spans="1:13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K249" t="s">
        <v>1237</v>
      </c>
      <c r="L249" t="s">
        <v>15</v>
      </c>
      <c r="M249" t="str">
        <f t="shared" si="3"/>
        <v>Adult</v>
      </c>
    </row>
    <row r="250" spans="1:13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  <c r="M250" t="str">
        <f t="shared" si="3"/>
        <v>Adult</v>
      </c>
    </row>
    <row r="251" spans="1:13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K251" t="s">
        <v>1237</v>
      </c>
      <c r="L251" t="s">
        <v>15</v>
      </c>
      <c r="M251" t="str">
        <f t="shared" si="3"/>
        <v>Middle Age</v>
      </c>
    </row>
    <row r="252" spans="1:13">
      <c r="A252">
        <v>251</v>
      </c>
      <c r="B252">
        <v>0</v>
      </c>
      <c r="C252">
        <v>3</v>
      </c>
      <c r="D252" t="s">
        <v>379</v>
      </c>
      <c r="E252" t="s">
        <v>13</v>
      </c>
      <c r="F252">
        <v>28</v>
      </c>
      <c r="G252">
        <v>0</v>
      </c>
      <c r="H252">
        <v>0</v>
      </c>
      <c r="I252">
        <v>362316</v>
      </c>
      <c r="J252">
        <v>7.25</v>
      </c>
      <c r="K252" t="s">
        <v>1237</v>
      </c>
      <c r="L252" t="s">
        <v>15</v>
      </c>
      <c r="M252" t="str">
        <f t="shared" si="3"/>
        <v>Adult</v>
      </c>
    </row>
    <row r="253" spans="1:13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  <c r="M253" t="str">
        <f t="shared" si="3"/>
        <v>Adult</v>
      </c>
    </row>
    <row r="254" spans="1:13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  <c r="M254" t="str">
        <f t="shared" si="3"/>
        <v>Senior</v>
      </c>
    </row>
    <row r="255" spans="1:13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K255" t="s">
        <v>1237</v>
      </c>
      <c r="L255" t="s">
        <v>15</v>
      </c>
      <c r="M255" t="str">
        <f t="shared" si="3"/>
        <v>Adult</v>
      </c>
    </row>
    <row r="256" spans="1:13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K256" t="s">
        <v>1237</v>
      </c>
      <c r="L256" t="s">
        <v>15</v>
      </c>
      <c r="M256" t="str">
        <f t="shared" si="3"/>
        <v>Middle Age</v>
      </c>
    </row>
    <row r="257" spans="1:13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K257" t="s">
        <v>1237</v>
      </c>
      <c r="L257" t="s">
        <v>20</v>
      </c>
      <c r="M257" t="str">
        <f t="shared" si="3"/>
        <v>Adult</v>
      </c>
    </row>
    <row r="258" spans="1:13">
      <c r="A258">
        <v>257</v>
      </c>
      <c r="B258">
        <v>1</v>
      </c>
      <c r="C258">
        <v>1</v>
      </c>
      <c r="D258" t="s">
        <v>387</v>
      </c>
      <c r="E258" t="s">
        <v>17</v>
      </c>
      <c r="F258">
        <v>28</v>
      </c>
      <c r="G258">
        <v>0</v>
      </c>
      <c r="H258">
        <v>0</v>
      </c>
      <c r="I258" t="s">
        <v>388</v>
      </c>
      <c r="J258">
        <v>79.2</v>
      </c>
      <c r="K258" t="s">
        <v>1237</v>
      </c>
      <c r="L258" t="s">
        <v>20</v>
      </c>
      <c r="M258" t="str">
        <f t="shared" ref="M258:M321" si="4">IF(F258&lt;13,"Child",IF(F258&lt;20,"Teenager",IF(F258&lt;40,"Adult",IF(F258&lt;60,"Middle Age","Senior"))))</f>
        <v>Adult</v>
      </c>
    </row>
    <row r="259" spans="1:13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  <c r="M259" t="str">
        <f t="shared" si="4"/>
        <v>Adult</v>
      </c>
    </row>
    <row r="260" spans="1:13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K260" t="s">
        <v>1237</v>
      </c>
      <c r="L260" t="s">
        <v>20</v>
      </c>
      <c r="M260" t="str">
        <f t="shared" si="4"/>
        <v>Adult</v>
      </c>
    </row>
    <row r="261" spans="1:13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K261" t="s">
        <v>1237</v>
      </c>
      <c r="L261" t="s">
        <v>15</v>
      </c>
      <c r="M261" t="str">
        <f t="shared" si="4"/>
        <v>Middle Age</v>
      </c>
    </row>
    <row r="262" spans="1:13">
      <c r="A262">
        <v>261</v>
      </c>
      <c r="B262">
        <v>0</v>
      </c>
      <c r="C262">
        <v>3</v>
      </c>
      <c r="D262" t="s">
        <v>394</v>
      </c>
      <c r="E262" t="s">
        <v>13</v>
      </c>
      <c r="F262">
        <v>28</v>
      </c>
      <c r="G262">
        <v>0</v>
      </c>
      <c r="H262">
        <v>0</v>
      </c>
      <c r="I262">
        <v>384461</v>
      </c>
      <c r="J262">
        <v>7.75</v>
      </c>
      <c r="K262" t="s">
        <v>1237</v>
      </c>
      <c r="L262" t="s">
        <v>27</v>
      </c>
      <c r="M262" t="str">
        <f t="shared" si="4"/>
        <v>Adult</v>
      </c>
    </row>
    <row r="263" spans="1:13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K263" t="s">
        <v>1237</v>
      </c>
      <c r="L263" t="s">
        <v>15</v>
      </c>
      <c r="M263" t="str">
        <f t="shared" si="4"/>
        <v>Child</v>
      </c>
    </row>
    <row r="264" spans="1:13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  <c r="M264" t="str">
        <f t="shared" si="4"/>
        <v>Middle Age</v>
      </c>
    </row>
    <row r="265" spans="1:13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  <c r="M265" t="str">
        <f t="shared" si="4"/>
        <v>Middle Age</v>
      </c>
    </row>
    <row r="266" spans="1:13">
      <c r="A266">
        <v>265</v>
      </c>
      <c r="B266">
        <v>0</v>
      </c>
      <c r="C266">
        <v>3</v>
      </c>
      <c r="D266" t="s">
        <v>400</v>
      </c>
      <c r="E266" t="s">
        <v>17</v>
      </c>
      <c r="F266">
        <v>28</v>
      </c>
      <c r="G266">
        <v>0</v>
      </c>
      <c r="H266">
        <v>0</v>
      </c>
      <c r="I266">
        <v>382649</v>
      </c>
      <c r="J266">
        <v>7.75</v>
      </c>
      <c r="K266" t="s">
        <v>1237</v>
      </c>
      <c r="L266" t="s">
        <v>27</v>
      </c>
      <c r="M266" t="str">
        <f t="shared" si="4"/>
        <v>Adult</v>
      </c>
    </row>
    <row r="267" spans="1:13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K267" t="s">
        <v>1237</v>
      </c>
      <c r="L267" t="s">
        <v>15</v>
      </c>
      <c r="M267" t="str">
        <f t="shared" si="4"/>
        <v>Adult</v>
      </c>
    </row>
    <row r="268" spans="1:13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K268" t="s">
        <v>1237</v>
      </c>
      <c r="L268" t="s">
        <v>15</v>
      </c>
      <c r="M268" t="str">
        <f t="shared" si="4"/>
        <v>Teenager</v>
      </c>
    </row>
    <row r="269" spans="1:13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K269" t="s">
        <v>1237</v>
      </c>
      <c r="L269" t="s">
        <v>15</v>
      </c>
      <c r="M269" t="str">
        <f t="shared" si="4"/>
        <v>Adult</v>
      </c>
    </row>
    <row r="270" spans="1:13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  <c r="M270" t="str">
        <f t="shared" si="4"/>
        <v>Middle Age</v>
      </c>
    </row>
    <row r="271" spans="1:13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  <c r="M271" t="str">
        <f t="shared" si="4"/>
        <v>Adult</v>
      </c>
    </row>
    <row r="272" spans="1:13">
      <c r="A272">
        <v>271</v>
      </c>
      <c r="B272">
        <v>0</v>
      </c>
      <c r="C272">
        <v>1</v>
      </c>
      <c r="D272" t="s">
        <v>411</v>
      </c>
      <c r="E272" t="s">
        <v>13</v>
      </c>
      <c r="F272">
        <v>28</v>
      </c>
      <c r="G272">
        <v>0</v>
      </c>
      <c r="H272">
        <v>0</v>
      </c>
      <c r="I272">
        <v>113798</v>
      </c>
      <c r="J272">
        <v>31</v>
      </c>
      <c r="K272" t="s">
        <v>1237</v>
      </c>
      <c r="L272" t="s">
        <v>15</v>
      </c>
      <c r="M272" t="str">
        <f t="shared" si="4"/>
        <v>Adult</v>
      </c>
    </row>
    <row r="273" spans="1:13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K273" t="s">
        <v>1237</v>
      </c>
      <c r="L273" t="s">
        <v>15</v>
      </c>
      <c r="M273" t="str">
        <f t="shared" si="4"/>
        <v>Adult</v>
      </c>
    </row>
    <row r="274" spans="1:13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K274" t="s">
        <v>1237</v>
      </c>
      <c r="L274" t="s">
        <v>15</v>
      </c>
      <c r="M274" t="str">
        <f t="shared" si="4"/>
        <v>Middle Age</v>
      </c>
    </row>
    <row r="275" spans="1:13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  <c r="M275" t="str">
        <f t="shared" si="4"/>
        <v>Adult</v>
      </c>
    </row>
    <row r="276" spans="1:13">
      <c r="A276">
        <v>275</v>
      </c>
      <c r="B276">
        <v>1</v>
      </c>
      <c r="C276">
        <v>3</v>
      </c>
      <c r="D276" t="s">
        <v>417</v>
      </c>
      <c r="E276" t="s">
        <v>17</v>
      </c>
      <c r="F276">
        <v>28</v>
      </c>
      <c r="G276">
        <v>0</v>
      </c>
      <c r="H276">
        <v>0</v>
      </c>
      <c r="I276">
        <v>370375</v>
      </c>
      <c r="J276">
        <v>7.75</v>
      </c>
      <c r="K276" t="s">
        <v>1237</v>
      </c>
      <c r="L276" t="s">
        <v>27</v>
      </c>
      <c r="M276" t="str">
        <f t="shared" si="4"/>
        <v>Adult</v>
      </c>
    </row>
    <row r="277" spans="1:13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  <c r="M277" t="str">
        <f t="shared" si="4"/>
        <v>Senior</v>
      </c>
    </row>
    <row r="278" spans="1:13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K278" t="s">
        <v>1237</v>
      </c>
      <c r="L278" t="s">
        <v>15</v>
      </c>
      <c r="M278" t="str">
        <f t="shared" si="4"/>
        <v>Middle Age</v>
      </c>
    </row>
    <row r="279" spans="1:13">
      <c r="A279">
        <v>278</v>
      </c>
      <c r="B279">
        <v>0</v>
      </c>
      <c r="C279">
        <v>2</v>
      </c>
      <c r="D279" t="s">
        <v>421</v>
      </c>
      <c r="E279" t="s">
        <v>13</v>
      </c>
      <c r="F279">
        <v>28</v>
      </c>
      <c r="G279">
        <v>0</v>
      </c>
      <c r="H279">
        <v>0</v>
      </c>
      <c r="I279">
        <v>239853</v>
      </c>
      <c r="J279">
        <v>0</v>
      </c>
      <c r="K279" t="s">
        <v>1237</v>
      </c>
      <c r="L279" t="s">
        <v>15</v>
      </c>
      <c r="M279" t="str">
        <f t="shared" si="4"/>
        <v>Adult</v>
      </c>
    </row>
    <row r="280" spans="1:13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K280" t="s">
        <v>1237</v>
      </c>
      <c r="L280" t="s">
        <v>27</v>
      </c>
      <c r="M280" t="str">
        <f t="shared" si="4"/>
        <v>Child</v>
      </c>
    </row>
    <row r="281" spans="1:13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K281" t="s">
        <v>1237</v>
      </c>
      <c r="L281" t="s">
        <v>15</v>
      </c>
      <c r="M281" t="str">
        <f t="shared" si="4"/>
        <v>Adult</v>
      </c>
    </row>
    <row r="282" spans="1:13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K282" t="s">
        <v>1237</v>
      </c>
      <c r="L282" t="s">
        <v>27</v>
      </c>
      <c r="M282" t="str">
        <f t="shared" si="4"/>
        <v>Senior</v>
      </c>
    </row>
    <row r="283" spans="1:13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K283" t="s">
        <v>1237</v>
      </c>
      <c r="L283" t="s">
        <v>15</v>
      </c>
      <c r="M283" t="str">
        <f t="shared" si="4"/>
        <v>Adult</v>
      </c>
    </row>
    <row r="284" spans="1:13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K284" t="s">
        <v>1237</v>
      </c>
      <c r="L284" t="s">
        <v>15</v>
      </c>
      <c r="M284" t="str">
        <f t="shared" si="4"/>
        <v>Teenager</v>
      </c>
    </row>
    <row r="285" spans="1:13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K285" t="s">
        <v>1237</v>
      </c>
      <c r="L285" t="s">
        <v>15</v>
      </c>
      <c r="M285" t="str">
        <f t="shared" si="4"/>
        <v>Teenager</v>
      </c>
    </row>
    <row r="286" spans="1:13">
      <c r="A286">
        <v>285</v>
      </c>
      <c r="B286">
        <v>0</v>
      </c>
      <c r="C286">
        <v>1</v>
      </c>
      <c r="D286" t="s">
        <v>430</v>
      </c>
      <c r="E286" t="s">
        <v>13</v>
      </c>
      <c r="F286">
        <v>28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  <c r="M286" t="str">
        <f t="shared" si="4"/>
        <v>Adult</v>
      </c>
    </row>
    <row r="287" spans="1:13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K287" t="s">
        <v>1237</v>
      </c>
      <c r="L287" t="s">
        <v>20</v>
      </c>
      <c r="M287" t="str">
        <f t="shared" si="4"/>
        <v>Adult</v>
      </c>
    </row>
    <row r="288" spans="1:13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K288" t="s">
        <v>1237</v>
      </c>
      <c r="L288" t="s">
        <v>15</v>
      </c>
      <c r="M288" t="str">
        <f t="shared" si="4"/>
        <v>Adult</v>
      </c>
    </row>
    <row r="289" spans="1:13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K289" t="s">
        <v>1237</v>
      </c>
      <c r="L289" t="s">
        <v>15</v>
      </c>
      <c r="M289" t="str">
        <f t="shared" si="4"/>
        <v>Adult</v>
      </c>
    </row>
    <row r="290" spans="1:13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K290" t="s">
        <v>1237</v>
      </c>
      <c r="L290" t="s">
        <v>15</v>
      </c>
      <c r="M290" t="str">
        <f t="shared" si="4"/>
        <v>Middle Age</v>
      </c>
    </row>
    <row r="291" spans="1:13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K291" t="s">
        <v>1237</v>
      </c>
      <c r="L291" t="s">
        <v>27</v>
      </c>
      <c r="M291" t="str">
        <f t="shared" si="4"/>
        <v>Adult</v>
      </c>
    </row>
    <row r="292" spans="1:13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K292" t="s">
        <v>1237</v>
      </c>
      <c r="L292" t="s">
        <v>15</v>
      </c>
      <c r="M292" t="str">
        <f t="shared" si="4"/>
        <v>Adult</v>
      </c>
    </row>
    <row r="293" spans="1:13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  <c r="M293" t="str">
        <f t="shared" si="4"/>
        <v>Teenager</v>
      </c>
    </row>
    <row r="294" spans="1:13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  <c r="M294" t="str">
        <f t="shared" si="4"/>
        <v>Adult</v>
      </c>
    </row>
    <row r="295" spans="1:13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K295" t="s">
        <v>1237</v>
      </c>
      <c r="L295" t="s">
        <v>15</v>
      </c>
      <c r="M295" t="str">
        <f t="shared" si="4"/>
        <v>Adult</v>
      </c>
    </row>
    <row r="296" spans="1:13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K296" t="s">
        <v>1237</v>
      </c>
      <c r="L296" t="s">
        <v>15</v>
      </c>
      <c r="M296" t="str">
        <f t="shared" si="4"/>
        <v>Adult</v>
      </c>
    </row>
    <row r="297" spans="1:13">
      <c r="A297">
        <v>296</v>
      </c>
      <c r="B297">
        <v>0</v>
      </c>
      <c r="C297">
        <v>1</v>
      </c>
      <c r="D297" t="s">
        <v>445</v>
      </c>
      <c r="E297" t="s">
        <v>13</v>
      </c>
      <c r="F297">
        <v>28</v>
      </c>
      <c r="G297">
        <v>0</v>
      </c>
      <c r="H297">
        <v>0</v>
      </c>
      <c r="I297" t="s">
        <v>446</v>
      </c>
      <c r="J297">
        <v>27.720800000000001</v>
      </c>
      <c r="K297" t="s">
        <v>1237</v>
      </c>
      <c r="L297" t="s">
        <v>20</v>
      </c>
      <c r="M297" t="str">
        <f t="shared" si="4"/>
        <v>Adult</v>
      </c>
    </row>
    <row r="298" spans="1:13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K298" t="s">
        <v>1237</v>
      </c>
      <c r="L298" t="s">
        <v>20</v>
      </c>
      <c r="M298" t="str">
        <f t="shared" si="4"/>
        <v>Adult</v>
      </c>
    </row>
    <row r="299" spans="1:13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  <c r="M299" t="str">
        <f t="shared" si="4"/>
        <v>Child</v>
      </c>
    </row>
    <row r="300" spans="1:13">
      <c r="A300">
        <v>299</v>
      </c>
      <c r="B300">
        <v>1</v>
      </c>
      <c r="C300">
        <v>1</v>
      </c>
      <c r="D300" t="s">
        <v>450</v>
      </c>
      <c r="E300" t="s">
        <v>13</v>
      </c>
      <c r="F300">
        <v>28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  <c r="M300" t="str">
        <f t="shared" si="4"/>
        <v>Adult</v>
      </c>
    </row>
    <row r="301" spans="1:13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  <c r="M301" t="str">
        <f t="shared" si="4"/>
        <v>Middle Age</v>
      </c>
    </row>
    <row r="302" spans="1:13">
      <c r="A302">
        <v>301</v>
      </c>
      <c r="B302">
        <v>1</v>
      </c>
      <c r="C302">
        <v>3</v>
      </c>
      <c r="D302" t="s">
        <v>453</v>
      </c>
      <c r="E302" t="s">
        <v>17</v>
      </c>
      <c r="F302">
        <v>28</v>
      </c>
      <c r="G302">
        <v>0</v>
      </c>
      <c r="H302">
        <v>0</v>
      </c>
      <c r="I302">
        <v>9234</v>
      </c>
      <c r="J302">
        <v>7.75</v>
      </c>
      <c r="K302" t="s">
        <v>1237</v>
      </c>
      <c r="L302" t="s">
        <v>27</v>
      </c>
      <c r="M302" t="str">
        <f t="shared" si="4"/>
        <v>Adult</v>
      </c>
    </row>
    <row r="303" spans="1:13">
      <c r="A303">
        <v>302</v>
      </c>
      <c r="B303">
        <v>1</v>
      </c>
      <c r="C303">
        <v>3</v>
      </c>
      <c r="D303" t="s">
        <v>454</v>
      </c>
      <c r="E303" t="s">
        <v>13</v>
      </c>
      <c r="F303">
        <v>28</v>
      </c>
      <c r="G303">
        <v>2</v>
      </c>
      <c r="H303">
        <v>0</v>
      </c>
      <c r="I303">
        <v>367226</v>
      </c>
      <c r="J303">
        <v>23.25</v>
      </c>
      <c r="K303" t="s">
        <v>1237</v>
      </c>
      <c r="L303" t="s">
        <v>27</v>
      </c>
      <c r="M303" t="str">
        <f t="shared" si="4"/>
        <v>Adult</v>
      </c>
    </row>
    <row r="304" spans="1:13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K304" t="s">
        <v>1237</v>
      </c>
      <c r="L304" t="s">
        <v>15</v>
      </c>
      <c r="M304" t="str">
        <f t="shared" si="4"/>
        <v>Teenager</v>
      </c>
    </row>
    <row r="305" spans="1:13">
      <c r="A305">
        <v>304</v>
      </c>
      <c r="B305">
        <v>1</v>
      </c>
      <c r="C305">
        <v>2</v>
      </c>
      <c r="D305" t="s">
        <v>456</v>
      </c>
      <c r="E305" t="s">
        <v>17</v>
      </c>
      <c r="F305">
        <v>28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  <c r="M305" t="str">
        <f t="shared" si="4"/>
        <v>Adult</v>
      </c>
    </row>
    <row r="306" spans="1:13">
      <c r="A306">
        <v>305</v>
      </c>
      <c r="B306">
        <v>0</v>
      </c>
      <c r="C306">
        <v>3</v>
      </c>
      <c r="D306" t="s">
        <v>457</v>
      </c>
      <c r="E306" t="s">
        <v>13</v>
      </c>
      <c r="F306">
        <v>28</v>
      </c>
      <c r="G306">
        <v>0</v>
      </c>
      <c r="H306">
        <v>0</v>
      </c>
      <c r="I306" t="s">
        <v>458</v>
      </c>
      <c r="J306">
        <v>8.0500000000000007</v>
      </c>
      <c r="K306" t="s">
        <v>1237</v>
      </c>
      <c r="L306" t="s">
        <v>15</v>
      </c>
      <c r="M306" t="str">
        <f t="shared" si="4"/>
        <v>Adult</v>
      </c>
    </row>
    <row r="307" spans="1:13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  <c r="M307" t="str">
        <f t="shared" si="4"/>
        <v>Child</v>
      </c>
    </row>
    <row r="308" spans="1:13">
      <c r="A308">
        <v>307</v>
      </c>
      <c r="B308">
        <v>1</v>
      </c>
      <c r="C308">
        <v>1</v>
      </c>
      <c r="D308" t="s">
        <v>460</v>
      </c>
      <c r="E308" t="s">
        <v>17</v>
      </c>
      <c r="F308">
        <v>28</v>
      </c>
      <c r="G308">
        <v>0</v>
      </c>
      <c r="H308">
        <v>0</v>
      </c>
      <c r="I308">
        <v>17421</v>
      </c>
      <c r="J308">
        <v>110.88330000000001</v>
      </c>
      <c r="K308" t="s">
        <v>1237</v>
      </c>
      <c r="L308" t="s">
        <v>20</v>
      </c>
      <c r="M308" t="str">
        <f t="shared" si="4"/>
        <v>Adult</v>
      </c>
    </row>
    <row r="309" spans="1:13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  <c r="M309" t="str">
        <f t="shared" si="4"/>
        <v>Teenager</v>
      </c>
    </row>
    <row r="310" spans="1:13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K310" t="s">
        <v>1237</v>
      </c>
      <c r="L310" t="s">
        <v>20</v>
      </c>
      <c r="M310" t="str">
        <f t="shared" si="4"/>
        <v>Adult</v>
      </c>
    </row>
    <row r="311" spans="1:13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  <c r="M311" t="str">
        <f t="shared" si="4"/>
        <v>Adult</v>
      </c>
    </row>
    <row r="312" spans="1:13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  <c r="M312" t="str">
        <f t="shared" si="4"/>
        <v>Adult</v>
      </c>
    </row>
    <row r="313" spans="1:13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  <c r="M313" t="str">
        <f t="shared" si="4"/>
        <v>Teenager</v>
      </c>
    </row>
    <row r="314" spans="1:13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K314" t="s">
        <v>1237</v>
      </c>
      <c r="L314" t="s">
        <v>15</v>
      </c>
      <c r="M314" t="str">
        <f t="shared" si="4"/>
        <v>Adult</v>
      </c>
    </row>
    <row r="315" spans="1:13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K315" t="s">
        <v>1237</v>
      </c>
      <c r="L315" t="s">
        <v>15</v>
      </c>
      <c r="M315" t="str">
        <f t="shared" si="4"/>
        <v>Adult</v>
      </c>
    </row>
    <row r="316" spans="1:13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K316" t="s">
        <v>1237</v>
      </c>
      <c r="L316" t="s">
        <v>15</v>
      </c>
      <c r="M316" t="str">
        <f t="shared" si="4"/>
        <v>Middle Age</v>
      </c>
    </row>
    <row r="317" spans="1:13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K317" t="s">
        <v>1237</v>
      </c>
      <c r="L317" t="s">
        <v>15</v>
      </c>
      <c r="M317" t="str">
        <f t="shared" si="4"/>
        <v>Adult</v>
      </c>
    </row>
    <row r="318" spans="1:13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K318" t="s">
        <v>1237</v>
      </c>
      <c r="L318" t="s">
        <v>15</v>
      </c>
      <c r="M318" t="str">
        <f t="shared" si="4"/>
        <v>Adult</v>
      </c>
    </row>
    <row r="319" spans="1:13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K319" t="s">
        <v>1237</v>
      </c>
      <c r="L319" t="s">
        <v>15</v>
      </c>
      <c r="M319" t="str">
        <f t="shared" si="4"/>
        <v>Middle Age</v>
      </c>
    </row>
    <row r="320" spans="1:13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  <c r="M320" t="str">
        <f t="shared" si="4"/>
        <v>Adult</v>
      </c>
    </row>
    <row r="321" spans="1:13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  <c r="M321" t="str">
        <f t="shared" si="4"/>
        <v>Middle Age</v>
      </c>
    </row>
    <row r="322" spans="1:13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K322" t="s">
        <v>1237</v>
      </c>
      <c r="L322" t="s">
        <v>15</v>
      </c>
      <c r="M322" t="str">
        <f t="shared" ref="M322:M385" si="5">IF(F322&lt;13,"Child",IF(F322&lt;20,"Teenager",IF(F322&lt;40,"Adult",IF(F322&lt;60,"Middle Age","Senior"))))</f>
        <v>Adult</v>
      </c>
    </row>
    <row r="323" spans="1:13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K323" t="s">
        <v>1237</v>
      </c>
      <c r="L323" t="s">
        <v>15</v>
      </c>
      <c r="M323" t="str">
        <f t="shared" si="5"/>
        <v>Adult</v>
      </c>
    </row>
    <row r="324" spans="1:13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K324" t="s">
        <v>1237</v>
      </c>
      <c r="L324" t="s">
        <v>27</v>
      </c>
      <c r="M324" t="str">
        <f t="shared" si="5"/>
        <v>Adult</v>
      </c>
    </row>
    <row r="325" spans="1:13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K325" t="s">
        <v>1237</v>
      </c>
      <c r="L325" t="s">
        <v>15</v>
      </c>
      <c r="M325" t="str">
        <f t="shared" si="5"/>
        <v>Adult</v>
      </c>
    </row>
    <row r="326" spans="1:13">
      <c r="A326">
        <v>325</v>
      </c>
      <c r="B326">
        <v>0</v>
      </c>
      <c r="C326">
        <v>3</v>
      </c>
      <c r="D326" t="s">
        <v>490</v>
      </c>
      <c r="E326" t="s">
        <v>13</v>
      </c>
      <c r="F326">
        <v>28</v>
      </c>
      <c r="G326">
        <v>8</v>
      </c>
      <c r="H326">
        <v>2</v>
      </c>
      <c r="I326" t="s">
        <v>251</v>
      </c>
      <c r="J326">
        <v>69.55</v>
      </c>
      <c r="K326" t="s">
        <v>1237</v>
      </c>
      <c r="L326" t="s">
        <v>15</v>
      </c>
      <c r="M326" t="str">
        <f t="shared" si="5"/>
        <v>Adult</v>
      </c>
    </row>
    <row r="327" spans="1:13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  <c r="M327" t="str">
        <f t="shared" si="5"/>
        <v>Adult</v>
      </c>
    </row>
    <row r="328" spans="1:13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K328" t="s">
        <v>1237</v>
      </c>
      <c r="L328" t="s">
        <v>15</v>
      </c>
      <c r="M328" t="str">
        <f t="shared" si="5"/>
        <v>Senior</v>
      </c>
    </row>
    <row r="329" spans="1:13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  <c r="M329" t="str">
        <f t="shared" si="5"/>
        <v>Adult</v>
      </c>
    </row>
    <row r="330" spans="1:13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K330" t="s">
        <v>1237</v>
      </c>
      <c r="L330" t="s">
        <v>15</v>
      </c>
      <c r="M330" t="str">
        <f t="shared" si="5"/>
        <v>Adult</v>
      </c>
    </row>
    <row r="331" spans="1:13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  <c r="M331" t="str">
        <f t="shared" si="5"/>
        <v>Teenager</v>
      </c>
    </row>
    <row r="332" spans="1:13">
      <c r="A332">
        <v>331</v>
      </c>
      <c r="B332">
        <v>1</v>
      </c>
      <c r="C332">
        <v>3</v>
      </c>
      <c r="D332" t="s">
        <v>498</v>
      </c>
      <c r="E332" t="s">
        <v>17</v>
      </c>
      <c r="F332">
        <v>28</v>
      </c>
      <c r="G332">
        <v>2</v>
      </c>
      <c r="H332">
        <v>0</v>
      </c>
      <c r="I332">
        <v>367226</v>
      </c>
      <c r="J332">
        <v>23.25</v>
      </c>
      <c r="K332" t="s">
        <v>1237</v>
      </c>
      <c r="L332" t="s">
        <v>27</v>
      </c>
      <c r="M332" t="str">
        <f t="shared" si="5"/>
        <v>Adult</v>
      </c>
    </row>
    <row r="333" spans="1:13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  <c r="M333" t="str">
        <f t="shared" si="5"/>
        <v>Middle Age</v>
      </c>
    </row>
    <row r="334" spans="1:13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  <c r="M334" t="str">
        <f t="shared" si="5"/>
        <v>Adult</v>
      </c>
    </row>
    <row r="335" spans="1:13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K335" t="s">
        <v>1237</v>
      </c>
      <c r="L335" t="s">
        <v>15</v>
      </c>
      <c r="M335" t="str">
        <f t="shared" si="5"/>
        <v>Teenager</v>
      </c>
    </row>
    <row r="336" spans="1:13">
      <c r="A336">
        <v>335</v>
      </c>
      <c r="B336">
        <v>1</v>
      </c>
      <c r="C336">
        <v>1</v>
      </c>
      <c r="D336" t="s">
        <v>504</v>
      </c>
      <c r="E336" t="s">
        <v>17</v>
      </c>
      <c r="F336">
        <v>28</v>
      </c>
      <c r="G336">
        <v>1</v>
      </c>
      <c r="H336">
        <v>0</v>
      </c>
      <c r="I336" t="s">
        <v>505</v>
      </c>
      <c r="J336">
        <v>133.65</v>
      </c>
      <c r="K336" t="s">
        <v>1237</v>
      </c>
      <c r="L336" t="s">
        <v>15</v>
      </c>
      <c r="M336" t="str">
        <f t="shared" si="5"/>
        <v>Adult</v>
      </c>
    </row>
    <row r="337" spans="1:13">
      <c r="A337">
        <v>336</v>
      </c>
      <c r="B337">
        <v>0</v>
      </c>
      <c r="C337">
        <v>3</v>
      </c>
      <c r="D337" t="s">
        <v>506</v>
      </c>
      <c r="E337" t="s">
        <v>13</v>
      </c>
      <c r="F337">
        <v>28</v>
      </c>
      <c r="G337">
        <v>0</v>
      </c>
      <c r="H337">
        <v>0</v>
      </c>
      <c r="I337">
        <v>349225</v>
      </c>
      <c r="J337">
        <v>7.8958000000000004</v>
      </c>
      <c r="K337" t="s">
        <v>1237</v>
      </c>
      <c r="L337" t="s">
        <v>15</v>
      </c>
      <c r="M337" t="str">
        <f t="shared" si="5"/>
        <v>Adult</v>
      </c>
    </row>
    <row r="338" spans="1:13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  <c r="M338" t="str">
        <f t="shared" si="5"/>
        <v>Adult</v>
      </c>
    </row>
    <row r="339" spans="1:13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  <c r="M339" t="str">
        <f t="shared" si="5"/>
        <v>Middle Age</v>
      </c>
    </row>
    <row r="340" spans="1:13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K340" t="s">
        <v>1237</v>
      </c>
      <c r="L340" t="s">
        <v>15</v>
      </c>
      <c r="M340" t="str">
        <f t="shared" si="5"/>
        <v>Middle Age</v>
      </c>
    </row>
    <row r="341" spans="1:13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  <c r="M341" t="str">
        <f t="shared" si="5"/>
        <v>Middle Age</v>
      </c>
    </row>
    <row r="342" spans="1:13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  <c r="M342" t="str">
        <f t="shared" si="5"/>
        <v>Child</v>
      </c>
    </row>
    <row r="343" spans="1:13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  <c r="M343" t="str">
        <f t="shared" si="5"/>
        <v>Adult</v>
      </c>
    </row>
    <row r="344" spans="1:13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K344" t="s">
        <v>1237</v>
      </c>
      <c r="L344" t="s">
        <v>15</v>
      </c>
      <c r="M344" t="str">
        <f t="shared" si="5"/>
        <v>Adult</v>
      </c>
    </row>
    <row r="345" spans="1:13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K345" t="s">
        <v>1237</v>
      </c>
      <c r="L345" t="s">
        <v>15</v>
      </c>
      <c r="M345" t="str">
        <f t="shared" si="5"/>
        <v>Adult</v>
      </c>
    </row>
    <row r="346" spans="1:13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K346" t="s">
        <v>1237</v>
      </c>
      <c r="L346" t="s">
        <v>15</v>
      </c>
      <c r="M346" t="str">
        <f t="shared" si="5"/>
        <v>Adult</v>
      </c>
    </row>
    <row r="347" spans="1:13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  <c r="M347" t="str">
        <f t="shared" si="5"/>
        <v>Adult</v>
      </c>
    </row>
    <row r="348" spans="1:13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K348" t="s">
        <v>1237</v>
      </c>
      <c r="L348" t="s">
        <v>15</v>
      </c>
      <c r="M348" t="str">
        <f t="shared" si="5"/>
        <v>Middle Age</v>
      </c>
    </row>
    <row r="349" spans="1:13">
      <c r="A349">
        <v>348</v>
      </c>
      <c r="B349">
        <v>1</v>
      </c>
      <c r="C349">
        <v>3</v>
      </c>
      <c r="D349" t="s">
        <v>520</v>
      </c>
      <c r="E349" t="s">
        <v>17</v>
      </c>
      <c r="F349">
        <v>28</v>
      </c>
      <c r="G349">
        <v>1</v>
      </c>
      <c r="H349">
        <v>0</v>
      </c>
      <c r="I349">
        <v>386525</v>
      </c>
      <c r="J349">
        <v>16.100000000000001</v>
      </c>
      <c r="K349" t="s">
        <v>1237</v>
      </c>
      <c r="L349" t="s">
        <v>15</v>
      </c>
      <c r="M349" t="str">
        <f t="shared" si="5"/>
        <v>Adult</v>
      </c>
    </row>
    <row r="350" spans="1:13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K350" t="s">
        <v>1237</v>
      </c>
      <c r="L350" t="s">
        <v>15</v>
      </c>
      <c r="M350" t="str">
        <f t="shared" si="5"/>
        <v>Child</v>
      </c>
    </row>
    <row r="351" spans="1:13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K351" t="s">
        <v>1237</v>
      </c>
      <c r="L351" t="s">
        <v>15</v>
      </c>
      <c r="M351" t="str">
        <f t="shared" si="5"/>
        <v>Middle Age</v>
      </c>
    </row>
    <row r="352" spans="1:13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K352" t="s">
        <v>1237</v>
      </c>
      <c r="L352" t="s">
        <v>15</v>
      </c>
      <c r="M352" t="str">
        <f t="shared" si="5"/>
        <v>Adult</v>
      </c>
    </row>
    <row r="353" spans="1:13">
      <c r="A353">
        <v>352</v>
      </c>
      <c r="B353">
        <v>0</v>
      </c>
      <c r="C353">
        <v>1</v>
      </c>
      <c r="D353" t="s">
        <v>525</v>
      </c>
      <c r="E353" t="s">
        <v>13</v>
      </c>
      <c r="F353">
        <v>28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  <c r="M353" t="str">
        <f t="shared" si="5"/>
        <v>Adult</v>
      </c>
    </row>
    <row r="354" spans="1:13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K354" t="s">
        <v>1237</v>
      </c>
      <c r="L354" t="s">
        <v>20</v>
      </c>
      <c r="M354" t="str">
        <f t="shared" si="5"/>
        <v>Teenager</v>
      </c>
    </row>
    <row r="355" spans="1:13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K355" t="s">
        <v>1237</v>
      </c>
      <c r="L355" t="s">
        <v>15</v>
      </c>
      <c r="M355" t="str">
        <f t="shared" si="5"/>
        <v>Adult</v>
      </c>
    </row>
    <row r="356" spans="1:13">
      <c r="A356">
        <v>355</v>
      </c>
      <c r="B356">
        <v>0</v>
      </c>
      <c r="C356">
        <v>3</v>
      </c>
      <c r="D356" t="s">
        <v>529</v>
      </c>
      <c r="E356" t="s">
        <v>13</v>
      </c>
      <c r="F356">
        <v>28</v>
      </c>
      <c r="G356">
        <v>0</v>
      </c>
      <c r="H356">
        <v>0</v>
      </c>
      <c r="I356">
        <v>2647</v>
      </c>
      <c r="J356">
        <v>7.2249999999999996</v>
      </c>
      <c r="K356" t="s">
        <v>1237</v>
      </c>
      <c r="L356" t="s">
        <v>20</v>
      </c>
      <c r="M356" t="str">
        <f t="shared" si="5"/>
        <v>Adult</v>
      </c>
    </row>
    <row r="357" spans="1:13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K357" t="s">
        <v>1237</v>
      </c>
      <c r="L357" t="s">
        <v>15</v>
      </c>
      <c r="M357" t="str">
        <f t="shared" si="5"/>
        <v>Adult</v>
      </c>
    </row>
    <row r="358" spans="1:13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  <c r="M358" t="str">
        <f t="shared" si="5"/>
        <v>Adult</v>
      </c>
    </row>
    <row r="359" spans="1:13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K359" t="s">
        <v>1237</v>
      </c>
      <c r="L359" t="s">
        <v>15</v>
      </c>
      <c r="M359" t="str">
        <f t="shared" si="5"/>
        <v>Adult</v>
      </c>
    </row>
    <row r="360" spans="1:13">
      <c r="A360">
        <v>359</v>
      </c>
      <c r="B360">
        <v>1</v>
      </c>
      <c r="C360">
        <v>3</v>
      </c>
      <c r="D360" t="s">
        <v>533</v>
      </c>
      <c r="E360" t="s">
        <v>17</v>
      </c>
      <c r="F360">
        <v>28</v>
      </c>
      <c r="G360">
        <v>0</v>
      </c>
      <c r="H360">
        <v>0</v>
      </c>
      <c r="I360">
        <v>330931</v>
      </c>
      <c r="J360">
        <v>7.8792</v>
      </c>
      <c r="K360" t="s">
        <v>1237</v>
      </c>
      <c r="L360" t="s">
        <v>27</v>
      </c>
      <c r="M360" t="str">
        <f t="shared" si="5"/>
        <v>Adult</v>
      </c>
    </row>
    <row r="361" spans="1:13">
      <c r="A361">
        <v>360</v>
      </c>
      <c r="B361">
        <v>1</v>
      </c>
      <c r="C361">
        <v>3</v>
      </c>
      <c r="D361" t="s">
        <v>534</v>
      </c>
      <c r="E361" t="s">
        <v>17</v>
      </c>
      <c r="F361">
        <v>28</v>
      </c>
      <c r="G361">
        <v>0</v>
      </c>
      <c r="H361">
        <v>0</v>
      </c>
      <c r="I361">
        <v>330980</v>
      </c>
      <c r="J361">
        <v>7.8792</v>
      </c>
      <c r="K361" t="s">
        <v>1237</v>
      </c>
      <c r="L361" t="s">
        <v>27</v>
      </c>
      <c r="M361" t="str">
        <f t="shared" si="5"/>
        <v>Adult</v>
      </c>
    </row>
    <row r="362" spans="1:13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K362" t="s">
        <v>1237</v>
      </c>
      <c r="L362" t="s">
        <v>15</v>
      </c>
      <c r="M362" t="str">
        <f t="shared" si="5"/>
        <v>Middle Age</v>
      </c>
    </row>
    <row r="363" spans="1:13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K363" t="s">
        <v>1237</v>
      </c>
      <c r="L363" t="s">
        <v>20</v>
      </c>
      <c r="M363" t="str">
        <f t="shared" si="5"/>
        <v>Adult</v>
      </c>
    </row>
    <row r="364" spans="1:13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K364" t="s">
        <v>1237</v>
      </c>
      <c r="L364" t="s">
        <v>20</v>
      </c>
      <c r="M364" t="str">
        <f t="shared" si="5"/>
        <v>Middle Age</v>
      </c>
    </row>
    <row r="365" spans="1:13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K365" t="s">
        <v>1237</v>
      </c>
      <c r="L365" t="s">
        <v>15</v>
      </c>
      <c r="M365" t="str">
        <f t="shared" si="5"/>
        <v>Adult</v>
      </c>
    </row>
    <row r="366" spans="1:13">
      <c r="A366">
        <v>365</v>
      </c>
      <c r="B366">
        <v>0</v>
      </c>
      <c r="C366">
        <v>3</v>
      </c>
      <c r="D366" t="s">
        <v>541</v>
      </c>
      <c r="E366" t="s">
        <v>13</v>
      </c>
      <c r="F366">
        <v>28</v>
      </c>
      <c r="G366">
        <v>1</v>
      </c>
      <c r="H366">
        <v>0</v>
      </c>
      <c r="I366">
        <v>370365</v>
      </c>
      <c r="J366">
        <v>15.5</v>
      </c>
      <c r="K366" t="s">
        <v>1237</v>
      </c>
      <c r="L366" t="s">
        <v>27</v>
      </c>
      <c r="M366" t="str">
        <f t="shared" si="5"/>
        <v>Adult</v>
      </c>
    </row>
    <row r="367" spans="1:13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K367" t="s">
        <v>1237</v>
      </c>
      <c r="L367" t="s">
        <v>15</v>
      </c>
      <c r="M367" t="str">
        <f t="shared" si="5"/>
        <v>Adult</v>
      </c>
    </row>
    <row r="368" spans="1:13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  <c r="M368" t="str">
        <f t="shared" si="5"/>
        <v>Senior</v>
      </c>
    </row>
    <row r="369" spans="1:13">
      <c r="A369">
        <v>368</v>
      </c>
      <c r="B369">
        <v>1</v>
      </c>
      <c r="C369">
        <v>3</v>
      </c>
      <c r="D369" t="s">
        <v>546</v>
      </c>
      <c r="E369" t="s">
        <v>17</v>
      </c>
      <c r="F369">
        <v>28</v>
      </c>
      <c r="G369">
        <v>0</v>
      </c>
      <c r="H369">
        <v>0</v>
      </c>
      <c r="I369">
        <v>2626</v>
      </c>
      <c r="J369">
        <v>7.2291999999999996</v>
      </c>
      <c r="K369" t="s">
        <v>1237</v>
      </c>
      <c r="L369" t="s">
        <v>20</v>
      </c>
      <c r="M369" t="str">
        <f t="shared" si="5"/>
        <v>Adult</v>
      </c>
    </row>
    <row r="370" spans="1:13">
      <c r="A370">
        <v>369</v>
      </c>
      <c r="B370">
        <v>1</v>
      </c>
      <c r="C370">
        <v>3</v>
      </c>
      <c r="D370" t="s">
        <v>547</v>
      </c>
      <c r="E370" t="s">
        <v>17</v>
      </c>
      <c r="F370">
        <v>28</v>
      </c>
      <c r="G370">
        <v>0</v>
      </c>
      <c r="H370">
        <v>0</v>
      </c>
      <c r="I370">
        <v>14313</v>
      </c>
      <c r="J370">
        <v>7.75</v>
      </c>
      <c r="K370" t="s">
        <v>1237</v>
      </c>
      <c r="L370" t="s">
        <v>27</v>
      </c>
      <c r="M370" t="str">
        <f t="shared" si="5"/>
        <v>Adult</v>
      </c>
    </row>
    <row r="371" spans="1:13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  <c r="M371" t="str">
        <f t="shared" si="5"/>
        <v>Adult</v>
      </c>
    </row>
    <row r="372" spans="1:13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  <c r="M372" t="str">
        <f t="shared" si="5"/>
        <v>Adult</v>
      </c>
    </row>
    <row r="373" spans="1:13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K373" t="s">
        <v>1237</v>
      </c>
      <c r="L373" t="s">
        <v>15</v>
      </c>
      <c r="M373" t="str">
        <f t="shared" si="5"/>
        <v>Teenager</v>
      </c>
    </row>
    <row r="374" spans="1:13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K374" t="s">
        <v>1237</v>
      </c>
      <c r="L374" t="s">
        <v>15</v>
      </c>
      <c r="M374" t="str">
        <f t="shared" si="5"/>
        <v>Teenager</v>
      </c>
    </row>
    <row r="375" spans="1:13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K375" t="s">
        <v>1237</v>
      </c>
      <c r="L375" t="s">
        <v>20</v>
      </c>
      <c r="M375" t="str">
        <f t="shared" si="5"/>
        <v>Adult</v>
      </c>
    </row>
    <row r="376" spans="1:13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K376" t="s">
        <v>1237</v>
      </c>
      <c r="L376" t="s">
        <v>15</v>
      </c>
      <c r="M376" t="str">
        <f t="shared" si="5"/>
        <v>Child</v>
      </c>
    </row>
    <row r="377" spans="1:13">
      <c r="A377">
        <v>376</v>
      </c>
      <c r="B377">
        <v>1</v>
      </c>
      <c r="C377">
        <v>1</v>
      </c>
      <c r="D377" t="s">
        <v>557</v>
      </c>
      <c r="E377" t="s">
        <v>17</v>
      </c>
      <c r="F377">
        <v>28</v>
      </c>
      <c r="G377">
        <v>1</v>
      </c>
      <c r="H377">
        <v>0</v>
      </c>
      <c r="I377" t="s">
        <v>69</v>
      </c>
      <c r="J377">
        <v>82.1708</v>
      </c>
      <c r="K377" t="s">
        <v>1237</v>
      </c>
      <c r="L377" t="s">
        <v>20</v>
      </c>
      <c r="M377" t="str">
        <f t="shared" si="5"/>
        <v>Adult</v>
      </c>
    </row>
    <row r="378" spans="1:13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K378" t="s">
        <v>1237</v>
      </c>
      <c r="L378" t="s">
        <v>15</v>
      </c>
      <c r="M378" t="str">
        <f t="shared" si="5"/>
        <v>Adult</v>
      </c>
    </row>
    <row r="379" spans="1:13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  <c r="M379" t="str">
        <f t="shared" si="5"/>
        <v>Adult</v>
      </c>
    </row>
    <row r="380" spans="1:13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K380" t="s">
        <v>1237</v>
      </c>
      <c r="L380" t="s">
        <v>20</v>
      </c>
      <c r="M380" t="str">
        <f t="shared" si="5"/>
        <v>Adult</v>
      </c>
    </row>
    <row r="381" spans="1:13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K381" t="s">
        <v>1237</v>
      </c>
      <c r="L381" t="s">
        <v>15</v>
      </c>
      <c r="M381" t="str">
        <f t="shared" si="5"/>
        <v>Teenager</v>
      </c>
    </row>
    <row r="382" spans="1:13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K382" t="s">
        <v>1237</v>
      </c>
      <c r="L382" t="s">
        <v>20</v>
      </c>
      <c r="M382" t="str">
        <f t="shared" si="5"/>
        <v>Middle Age</v>
      </c>
    </row>
    <row r="383" spans="1:13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K383" t="s">
        <v>1237</v>
      </c>
      <c r="L383" t="s">
        <v>20</v>
      </c>
      <c r="M383" t="str">
        <f t="shared" si="5"/>
        <v>Child</v>
      </c>
    </row>
    <row r="384" spans="1:13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K384" t="s">
        <v>1237</v>
      </c>
      <c r="L384" t="s">
        <v>15</v>
      </c>
      <c r="M384" t="str">
        <f t="shared" si="5"/>
        <v>Adult</v>
      </c>
    </row>
    <row r="385" spans="1:13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K385" t="s">
        <v>1237</v>
      </c>
      <c r="L385" t="s">
        <v>15</v>
      </c>
      <c r="M385" t="str">
        <f t="shared" si="5"/>
        <v>Adult</v>
      </c>
    </row>
    <row r="386" spans="1:13">
      <c r="A386">
        <v>385</v>
      </c>
      <c r="B386">
        <v>0</v>
      </c>
      <c r="C386">
        <v>3</v>
      </c>
      <c r="D386" t="s">
        <v>570</v>
      </c>
      <c r="E386" t="s">
        <v>13</v>
      </c>
      <c r="F386">
        <v>28</v>
      </c>
      <c r="G386">
        <v>0</v>
      </c>
      <c r="H386">
        <v>0</v>
      </c>
      <c r="I386">
        <v>349227</v>
      </c>
      <c r="J386">
        <v>7.8958000000000004</v>
      </c>
      <c r="K386" t="s">
        <v>1237</v>
      </c>
      <c r="L386" t="s">
        <v>15</v>
      </c>
      <c r="M386" t="str">
        <f t="shared" ref="M386:M449" si="6">IF(F386&lt;13,"Child",IF(F386&lt;20,"Teenager",IF(F386&lt;40,"Adult",IF(F386&lt;60,"Middle Age","Senior"))))</f>
        <v>Adult</v>
      </c>
    </row>
    <row r="387" spans="1:13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K387" t="s">
        <v>1237</v>
      </c>
      <c r="L387" t="s">
        <v>15</v>
      </c>
      <c r="M387" t="str">
        <f t="shared" si="6"/>
        <v>Teenager</v>
      </c>
    </row>
    <row r="388" spans="1:13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K388" t="s">
        <v>1237</v>
      </c>
      <c r="L388" t="s">
        <v>15</v>
      </c>
      <c r="M388" t="str">
        <f t="shared" si="6"/>
        <v>Child</v>
      </c>
    </row>
    <row r="389" spans="1:13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K389" t="s">
        <v>1237</v>
      </c>
      <c r="L389" t="s">
        <v>15</v>
      </c>
      <c r="M389" t="str">
        <f t="shared" si="6"/>
        <v>Adult</v>
      </c>
    </row>
    <row r="390" spans="1:13">
      <c r="A390">
        <v>389</v>
      </c>
      <c r="B390">
        <v>0</v>
      </c>
      <c r="C390">
        <v>3</v>
      </c>
      <c r="D390" t="s">
        <v>574</v>
      </c>
      <c r="E390" t="s">
        <v>13</v>
      </c>
      <c r="F390">
        <v>28</v>
      </c>
      <c r="G390">
        <v>0</v>
      </c>
      <c r="H390">
        <v>0</v>
      </c>
      <c r="I390">
        <v>367655</v>
      </c>
      <c r="J390">
        <v>7.7291999999999996</v>
      </c>
      <c r="K390" t="s">
        <v>1237</v>
      </c>
      <c r="L390" t="s">
        <v>27</v>
      </c>
      <c r="M390" t="str">
        <f t="shared" si="6"/>
        <v>Adult</v>
      </c>
    </row>
    <row r="391" spans="1:13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K391" t="s">
        <v>1237</v>
      </c>
      <c r="L391" t="s">
        <v>20</v>
      </c>
      <c r="M391" t="str">
        <f t="shared" si="6"/>
        <v>Teenager</v>
      </c>
    </row>
    <row r="392" spans="1:13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  <c r="M392" t="str">
        <f t="shared" si="6"/>
        <v>Adult</v>
      </c>
    </row>
    <row r="393" spans="1:13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K393" t="s">
        <v>1237</v>
      </c>
      <c r="L393" t="s">
        <v>15</v>
      </c>
      <c r="M393" t="str">
        <f t="shared" si="6"/>
        <v>Adult</v>
      </c>
    </row>
    <row r="394" spans="1:13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K394" t="s">
        <v>1237</v>
      </c>
      <c r="L394" t="s">
        <v>15</v>
      </c>
      <c r="M394" t="str">
        <f t="shared" si="6"/>
        <v>Adult</v>
      </c>
    </row>
    <row r="395" spans="1:13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  <c r="M395" t="str">
        <f t="shared" si="6"/>
        <v>Adult</v>
      </c>
    </row>
    <row r="396" spans="1:13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  <c r="M396" t="str">
        <f t="shared" si="6"/>
        <v>Adult</v>
      </c>
    </row>
    <row r="397" spans="1:13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K397" t="s">
        <v>1237</v>
      </c>
      <c r="L397" t="s">
        <v>15</v>
      </c>
      <c r="M397" t="str">
        <f t="shared" si="6"/>
        <v>Adult</v>
      </c>
    </row>
    <row r="398" spans="1:13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K398" t="s">
        <v>1237</v>
      </c>
      <c r="L398" t="s">
        <v>15</v>
      </c>
      <c r="M398" t="str">
        <f t="shared" si="6"/>
        <v>Adult</v>
      </c>
    </row>
    <row r="399" spans="1:13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K399" t="s">
        <v>1237</v>
      </c>
      <c r="L399" t="s">
        <v>15</v>
      </c>
      <c r="M399" t="str">
        <f t="shared" si="6"/>
        <v>Middle Age</v>
      </c>
    </row>
    <row r="400" spans="1:13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K400" t="s">
        <v>1237</v>
      </c>
      <c r="L400" t="s">
        <v>15</v>
      </c>
      <c r="M400" t="str">
        <f t="shared" si="6"/>
        <v>Adult</v>
      </c>
    </row>
    <row r="401" spans="1:13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K401" t="s">
        <v>1237</v>
      </c>
      <c r="L401" t="s">
        <v>15</v>
      </c>
      <c r="M401" t="str">
        <f t="shared" si="6"/>
        <v>Adult</v>
      </c>
    </row>
    <row r="402" spans="1:13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K402" t="s">
        <v>1237</v>
      </c>
      <c r="L402" t="s">
        <v>15</v>
      </c>
      <c r="M402" t="str">
        <f t="shared" si="6"/>
        <v>Adult</v>
      </c>
    </row>
    <row r="403" spans="1:13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K403" t="s">
        <v>1237</v>
      </c>
      <c r="L403" t="s">
        <v>15</v>
      </c>
      <c r="M403" t="str">
        <f t="shared" si="6"/>
        <v>Adult</v>
      </c>
    </row>
    <row r="404" spans="1:13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K404" t="s">
        <v>1237</v>
      </c>
      <c r="L404" t="s">
        <v>15</v>
      </c>
      <c r="M404" t="str">
        <f t="shared" si="6"/>
        <v>Adult</v>
      </c>
    </row>
    <row r="405" spans="1:13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K405" t="s">
        <v>1237</v>
      </c>
      <c r="L405" t="s">
        <v>15</v>
      </c>
      <c r="M405" t="str">
        <f t="shared" si="6"/>
        <v>Adult</v>
      </c>
    </row>
    <row r="406" spans="1:13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K406" t="s">
        <v>1237</v>
      </c>
      <c r="L406" t="s">
        <v>15</v>
      </c>
      <c r="M406" t="str">
        <f t="shared" si="6"/>
        <v>Adult</v>
      </c>
    </row>
    <row r="407" spans="1:13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K407" t="s">
        <v>1237</v>
      </c>
      <c r="L407" t="s">
        <v>15</v>
      </c>
      <c r="M407" t="str">
        <f t="shared" si="6"/>
        <v>Adult</v>
      </c>
    </row>
    <row r="408" spans="1:13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K408" t="s">
        <v>1237</v>
      </c>
      <c r="L408" t="s">
        <v>15</v>
      </c>
      <c r="M408" t="str">
        <f t="shared" si="6"/>
        <v>Middle Age</v>
      </c>
    </row>
    <row r="409" spans="1:13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K409" t="s">
        <v>1237</v>
      </c>
      <c r="L409" t="s">
        <v>15</v>
      </c>
      <c r="M409" t="str">
        <f t="shared" si="6"/>
        <v>Child</v>
      </c>
    </row>
    <row r="410" spans="1:13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K410" t="s">
        <v>1237</v>
      </c>
      <c r="L410" t="s">
        <v>15</v>
      </c>
      <c r="M410" t="str">
        <f t="shared" si="6"/>
        <v>Adult</v>
      </c>
    </row>
    <row r="411" spans="1:13">
      <c r="A411">
        <v>410</v>
      </c>
      <c r="B411">
        <v>0</v>
      </c>
      <c r="C411">
        <v>3</v>
      </c>
      <c r="D411" t="s">
        <v>598</v>
      </c>
      <c r="E411" t="s">
        <v>17</v>
      </c>
      <c r="F411">
        <v>28</v>
      </c>
      <c r="G411">
        <v>3</v>
      </c>
      <c r="H411">
        <v>1</v>
      </c>
      <c r="I411">
        <v>4133</v>
      </c>
      <c r="J411">
        <v>25.466699999999999</v>
      </c>
      <c r="K411" t="s">
        <v>1237</v>
      </c>
      <c r="L411" t="s">
        <v>15</v>
      </c>
      <c r="M411" t="str">
        <f t="shared" si="6"/>
        <v>Adult</v>
      </c>
    </row>
    <row r="412" spans="1:13">
      <c r="A412">
        <v>411</v>
      </c>
      <c r="B412">
        <v>0</v>
      </c>
      <c r="C412">
        <v>3</v>
      </c>
      <c r="D412" t="s">
        <v>599</v>
      </c>
      <c r="E412" t="s">
        <v>13</v>
      </c>
      <c r="F412">
        <v>28</v>
      </c>
      <c r="G412">
        <v>0</v>
      </c>
      <c r="H412">
        <v>0</v>
      </c>
      <c r="I412">
        <v>349222</v>
      </c>
      <c r="J412">
        <v>7.8958000000000004</v>
      </c>
      <c r="K412" t="s">
        <v>1237</v>
      </c>
      <c r="L412" t="s">
        <v>15</v>
      </c>
      <c r="M412" t="str">
        <f t="shared" si="6"/>
        <v>Adult</v>
      </c>
    </row>
    <row r="413" spans="1:13">
      <c r="A413">
        <v>412</v>
      </c>
      <c r="B413">
        <v>0</v>
      </c>
      <c r="C413">
        <v>3</v>
      </c>
      <c r="D413" t="s">
        <v>600</v>
      </c>
      <c r="E413" t="s">
        <v>13</v>
      </c>
      <c r="F413">
        <v>28</v>
      </c>
      <c r="G413">
        <v>0</v>
      </c>
      <c r="H413">
        <v>0</v>
      </c>
      <c r="I413">
        <v>394140</v>
      </c>
      <c r="J413">
        <v>6.8582999999999998</v>
      </c>
      <c r="K413" t="s">
        <v>1237</v>
      </c>
      <c r="L413" t="s">
        <v>27</v>
      </c>
      <c r="M413" t="str">
        <f t="shared" si="6"/>
        <v>Adult</v>
      </c>
    </row>
    <row r="414" spans="1:13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  <c r="M414" t="str">
        <f t="shared" si="6"/>
        <v>Adult</v>
      </c>
    </row>
    <row r="415" spans="1:13">
      <c r="A415">
        <v>414</v>
      </c>
      <c r="B415">
        <v>0</v>
      </c>
      <c r="C415">
        <v>2</v>
      </c>
      <c r="D415" t="s">
        <v>602</v>
      </c>
      <c r="E415" t="s">
        <v>13</v>
      </c>
      <c r="F415">
        <v>28</v>
      </c>
      <c r="G415">
        <v>0</v>
      </c>
      <c r="H415">
        <v>0</v>
      </c>
      <c r="I415">
        <v>239853</v>
      </c>
      <c r="J415">
        <v>0</v>
      </c>
      <c r="K415" t="s">
        <v>1237</v>
      </c>
      <c r="L415" t="s">
        <v>15</v>
      </c>
      <c r="M415" t="str">
        <f t="shared" si="6"/>
        <v>Adult</v>
      </c>
    </row>
    <row r="416" spans="1:13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K416" t="s">
        <v>1237</v>
      </c>
      <c r="L416" t="s">
        <v>15</v>
      </c>
      <c r="M416" t="str">
        <f t="shared" si="6"/>
        <v>Middle Age</v>
      </c>
    </row>
    <row r="417" spans="1:13">
      <c r="A417">
        <v>416</v>
      </c>
      <c r="B417">
        <v>0</v>
      </c>
      <c r="C417">
        <v>3</v>
      </c>
      <c r="D417" t="s">
        <v>605</v>
      </c>
      <c r="E417" t="s">
        <v>17</v>
      </c>
      <c r="F417">
        <v>28</v>
      </c>
      <c r="G417">
        <v>0</v>
      </c>
      <c r="H417">
        <v>0</v>
      </c>
      <c r="I417">
        <v>343095</v>
      </c>
      <c r="J417">
        <v>8.0500000000000007</v>
      </c>
      <c r="K417" t="s">
        <v>1237</v>
      </c>
      <c r="L417" t="s">
        <v>15</v>
      </c>
      <c r="M417" t="str">
        <f t="shared" si="6"/>
        <v>Adult</v>
      </c>
    </row>
    <row r="418" spans="1:13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K418" t="s">
        <v>1237</v>
      </c>
      <c r="L418" t="s">
        <v>15</v>
      </c>
      <c r="M418" t="str">
        <f t="shared" si="6"/>
        <v>Adult</v>
      </c>
    </row>
    <row r="419" spans="1:13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K419" t="s">
        <v>1237</v>
      </c>
      <c r="L419" t="s">
        <v>15</v>
      </c>
      <c r="M419" t="str">
        <f t="shared" si="6"/>
        <v>Teenager</v>
      </c>
    </row>
    <row r="420" spans="1:13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K420" t="s">
        <v>1237</v>
      </c>
      <c r="L420" t="s">
        <v>15</v>
      </c>
      <c r="M420" t="str">
        <f t="shared" si="6"/>
        <v>Adult</v>
      </c>
    </row>
    <row r="421" spans="1:13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K421" t="s">
        <v>1237</v>
      </c>
      <c r="L421" t="s">
        <v>15</v>
      </c>
      <c r="M421" t="str">
        <f t="shared" si="6"/>
        <v>Child</v>
      </c>
    </row>
    <row r="422" spans="1:13">
      <c r="A422">
        <v>421</v>
      </c>
      <c r="B422">
        <v>0</v>
      </c>
      <c r="C422">
        <v>3</v>
      </c>
      <c r="D422" t="s">
        <v>610</v>
      </c>
      <c r="E422" t="s">
        <v>13</v>
      </c>
      <c r="F422">
        <v>28</v>
      </c>
      <c r="G422">
        <v>0</v>
      </c>
      <c r="H422">
        <v>0</v>
      </c>
      <c r="I422">
        <v>349254</v>
      </c>
      <c r="J422">
        <v>7.8958000000000004</v>
      </c>
      <c r="K422" t="s">
        <v>1237</v>
      </c>
      <c r="L422" t="s">
        <v>20</v>
      </c>
      <c r="M422" t="str">
        <f t="shared" si="6"/>
        <v>Adult</v>
      </c>
    </row>
    <row r="423" spans="1:13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K423" t="s">
        <v>1237</v>
      </c>
      <c r="L423" t="s">
        <v>27</v>
      </c>
      <c r="M423" t="str">
        <f t="shared" si="6"/>
        <v>Adult</v>
      </c>
    </row>
    <row r="424" spans="1:13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K424" t="s">
        <v>1237</v>
      </c>
      <c r="L424" t="s">
        <v>15</v>
      </c>
      <c r="M424" t="str">
        <f t="shared" si="6"/>
        <v>Adult</v>
      </c>
    </row>
    <row r="425" spans="1:13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K425" t="s">
        <v>1237</v>
      </c>
      <c r="L425" t="s">
        <v>15</v>
      </c>
      <c r="M425" t="str">
        <f t="shared" si="6"/>
        <v>Adult</v>
      </c>
    </row>
    <row r="426" spans="1:13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K426" t="s">
        <v>1237</v>
      </c>
      <c r="L426" t="s">
        <v>15</v>
      </c>
      <c r="M426" t="str">
        <f t="shared" si="6"/>
        <v>Teenager</v>
      </c>
    </row>
    <row r="427" spans="1:13">
      <c r="A427">
        <v>426</v>
      </c>
      <c r="B427">
        <v>0</v>
      </c>
      <c r="C427">
        <v>3</v>
      </c>
      <c r="D427" t="s">
        <v>616</v>
      </c>
      <c r="E427" t="s">
        <v>13</v>
      </c>
      <c r="F427">
        <v>28</v>
      </c>
      <c r="G427">
        <v>0</v>
      </c>
      <c r="H427">
        <v>0</v>
      </c>
      <c r="I427" t="s">
        <v>617</v>
      </c>
      <c r="J427">
        <v>7.25</v>
      </c>
      <c r="K427" t="s">
        <v>1237</v>
      </c>
      <c r="L427" t="s">
        <v>15</v>
      </c>
      <c r="M427" t="str">
        <f t="shared" si="6"/>
        <v>Adult</v>
      </c>
    </row>
    <row r="428" spans="1:13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K428" t="s">
        <v>1237</v>
      </c>
      <c r="L428" t="s">
        <v>15</v>
      </c>
      <c r="M428" t="str">
        <f t="shared" si="6"/>
        <v>Adult</v>
      </c>
    </row>
    <row r="429" spans="1:13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K429" t="s">
        <v>1237</v>
      </c>
      <c r="L429" t="s">
        <v>15</v>
      </c>
      <c r="M429" t="str">
        <f t="shared" si="6"/>
        <v>Teenager</v>
      </c>
    </row>
    <row r="430" spans="1:13">
      <c r="A430">
        <v>429</v>
      </c>
      <c r="B430">
        <v>0</v>
      </c>
      <c r="C430">
        <v>3</v>
      </c>
      <c r="D430" t="s">
        <v>620</v>
      </c>
      <c r="E430" t="s">
        <v>13</v>
      </c>
      <c r="F430">
        <v>28</v>
      </c>
      <c r="G430">
        <v>0</v>
      </c>
      <c r="H430">
        <v>0</v>
      </c>
      <c r="I430">
        <v>364851</v>
      </c>
      <c r="J430">
        <v>7.75</v>
      </c>
      <c r="K430" t="s">
        <v>1237</v>
      </c>
      <c r="L430" t="s">
        <v>27</v>
      </c>
      <c r="M430" t="str">
        <f t="shared" si="6"/>
        <v>Adult</v>
      </c>
    </row>
    <row r="431" spans="1:13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  <c r="M431" t="str">
        <f t="shared" si="6"/>
        <v>Adult</v>
      </c>
    </row>
    <row r="432" spans="1:13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  <c r="M432" t="str">
        <f t="shared" si="6"/>
        <v>Adult</v>
      </c>
    </row>
    <row r="433" spans="1:13">
      <c r="A433">
        <v>432</v>
      </c>
      <c r="B433">
        <v>1</v>
      </c>
      <c r="C433">
        <v>3</v>
      </c>
      <c r="D433" t="s">
        <v>625</v>
      </c>
      <c r="E433" t="s">
        <v>17</v>
      </c>
      <c r="F433">
        <v>28</v>
      </c>
      <c r="G433">
        <v>1</v>
      </c>
      <c r="H433">
        <v>0</v>
      </c>
      <c r="I433">
        <v>376564</v>
      </c>
      <c r="J433">
        <v>16.100000000000001</v>
      </c>
      <c r="K433" t="s">
        <v>1237</v>
      </c>
      <c r="L433" t="s">
        <v>15</v>
      </c>
      <c r="M433" t="str">
        <f t="shared" si="6"/>
        <v>Adult</v>
      </c>
    </row>
    <row r="434" spans="1:13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K434" t="s">
        <v>1237</v>
      </c>
      <c r="L434" t="s">
        <v>15</v>
      </c>
      <c r="M434" t="str">
        <f t="shared" si="6"/>
        <v>Middle Age</v>
      </c>
    </row>
    <row r="435" spans="1:13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K435" t="s">
        <v>1237</v>
      </c>
      <c r="L435" t="s">
        <v>15</v>
      </c>
      <c r="M435" t="str">
        <f t="shared" si="6"/>
        <v>Teenager</v>
      </c>
    </row>
    <row r="436" spans="1:13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  <c r="M436" t="str">
        <f t="shared" si="6"/>
        <v>Middle Age</v>
      </c>
    </row>
    <row r="437" spans="1:13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  <c r="M437" t="str">
        <f t="shared" si="6"/>
        <v>Teenager</v>
      </c>
    </row>
    <row r="438" spans="1:13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K438" t="s">
        <v>1237</v>
      </c>
      <c r="L438" t="s">
        <v>15</v>
      </c>
      <c r="M438" t="str">
        <f t="shared" si="6"/>
        <v>Adult</v>
      </c>
    </row>
    <row r="439" spans="1:13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K439" t="s">
        <v>1237</v>
      </c>
      <c r="L439" t="s">
        <v>15</v>
      </c>
      <c r="M439" t="str">
        <f t="shared" si="6"/>
        <v>Adult</v>
      </c>
    </row>
    <row r="440" spans="1:13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  <c r="M440" t="str">
        <f t="shared" si="6"/>
        <v>Senior</v>
      </c>
    </row>
    <row r="441" spans="1:13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K441" t="s">
        <v>1237</v>
      </c>
      <c r="L441" t="s">
        <v>15</v>
      </c>
      <c r="M441" t="str">
        <f t="shared" si="6"/>
        <v>Adult</v>
      </c>
    </row>
    <row r="442" spans="1:13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K442" t="s">
        <v>1237</v>
      </c>
      <c r="L442" t="s">
        <v>15</v>
      </c>
      <c r="M442" t="str">
        <f t="shared" si="6"/>
        <v>Middle Age</v>
      </c>
    </row>
    <row r="443" spans="1:13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K443" t="s">
        <v>1237</v>
      </c>
      <c r="L443" t="s">
        <v>15</v>
      </c>
      <c r="M443" t="str">
        <f t="shared" si="6"/>
        <v>Adult</v>
      </c>
    </row>
    <row r="444" spans="1:13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K444" t="s">
        <v>1237</v>
      </c>
      <c r="L444" t="s">
        <v>15</v>
      </c>
      <c r="M444" t="str">
        <f t="shared" si="6"/>
        <v>Adult</v>
      </c>
    </row>
    <row r="445" spans="1:13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K445" t="s">
        <v>1237</v>
      </c>
      <c r="L445" t="s">
        <v>15</v>
      </c>
      <c r="M445" t="str">
        <f t="shared" si="6"/>
        <v>Adult</v>
      </c>
    </row>
    <row r="446" spans="1:13">
      <c r="A446">
        <v>445</v>
      </c>
      <c r="B446">
        <v>1</v>
      </c>
      <c r="C446">
        <v>3</v>
      </c>
      <c r="D446" t="s">
        <v>642</v>
      </c>
      <c r="E446" t="s">
        <v>13</v>
      </c>
      <c r="F446">
        <v>28</v>
      </c>
      <c r="G446">
        <v>0</v>
      </c>
      <c r="H446">
        <v>0</v>
      </c>
      <c r="I446">
        <v>65306</v>
      </c>
      <c r="J446">
        <v>8.1125000000000007</v>
      </c>
      <c r="K446" t="s">
        <v>1237</v>
      </c>
      <c r="L446" t="s">
        <v>15</v>
      </c>
      <c r="M446" t="str">
        <f t="shared" si="6"/>
        <v>Adult</v>
      </c>
    </row>
    <row r="447" spans="1:13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  <c r="M447" t="str">
        <f t="shared" si="6"/>
        <v>Child</v>
      </c>
    </row>
    <row r="448" spans="1:13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K448" t="s">
        <v>1237</v>
      </c>
      <c r="L448" t="s">
        <v>15</v>
      </c>
      <c r="M448" t="str">
        <f t="shared" si="6"/>
        <v>Teenager</v>
      </c>
    </row>
    <row r="449" spans="1:13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K449" t="s">
        <v>1237</v>
      </c>
      <c r="L449" t="s">
        <v>15</v>
      </c>
      <c r="M449" t="str">
        <f t="shared" si="6"/>
        <v>Adult</v>
      </c>
    </row>
    <row r="450" spans="1:13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K450" t="s">
        <v>1237</v>
      </c>
      <c r="L450" t="s">
        <v>20</v>
      </c>
      <c r="M450" t="str">
        <f t="shared" ref="M450:M513" si="7">IF(F450&lt;13,"Child",IF(F450&lt;20,"Teenager",IF(F450&lt;40,"Adult",IF(F450&lt;60,"Middle Age","Senior"))))</f>
        <v>Child</v>
      </c>
    </row>
    <row r="451" spans="1:13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  <c r="M451" t="str">
        <f t="shared" si="7"/>
        <v>Middle Age</v>
      </c>
    </row>
    <row r="452" spans="1:13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K452" t="s">
        <v>1237</v>
      </c>
      <c r="L452" t="s">
        <v>15</v>
      </c>
      <c r="M452" t="str">
        <f t="shared" si="7"/>
        <v>Adult</v>
      </c>
    </row>
    <row r="453" spans="1:13">
      <c r="A453">
        <v>452</v>
      </c>
      <c r="B453">
        <v>0</v>
      </c>
      <c r="C453">
        <v>3</v>
      </c>
      <c r="D453" t="s">
        <v>651</v>
      </c>
      <c r="E453" t="s">
        <v>13</v>
      </c>
      <c r="F453">
        <v>28</v>
      </c>
      <c r="G453">
        <v>1</v>
      </c>
      <c r="H453">
        <v>0</v>
      </c>
      <c r="I453">
        <v>65303</v>
      </c>
      <c r="J453">
        <v>19.966699999999999</v>
      </c>
      <c r="K453" t="s">
        <v>1237</v>
      </c>
      <c r="L453" t="s">
        <v>15</v>
      </c>
      <c r="M453" t="str">
        <f t="shared" si="7"/>
        <v>Adult</v>
      </c>
    </row>
    <row r="454" spans="1:13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  <c r="M454" t="str">
        <f t="shared" si="7"/>
        <v>Adult</v>
      </c>
    </row>
    <row r="455" spans="1:13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  <c r="M455" t="str">
        <f t="shared" si="7"/>
        <v>Middle Age</v>
      </c>
    </row>
    <row r="456" spans="1:13">
      <c r="A456">
        <v>455</v>
      </c>
      <c r="B456">
        <v>0</v>
      </c>
      <c r="C456">
        <v>3</v>
      </c>
      <c r="D456" t="s">
        <v>656</v>
      </c>
      <c r="E456" t="s">
        <v>13</v>
      </c>
      <c r="F456">
        <v>28</v>
      </c>
      <c r="G456">
        <v>0</v>
      </c>
      <c r="H456">
        <v>0</v>
      </c>
      <c r="I456" t="s">
        <v>657</v>
      </c>
      <c r="J456">
        <v>8.0500000000000007</v>
      </c>
      <c r="K456" t="s">
        <v>1237</v>
      </c>
      <c r="L456" t="s">
        <v>15</v>
      </c>
      <c r="M456" t="str">
        <f t="shared" si="7"/>
        <v>Adult</v>
      </c>
    </row>
    <row r="457" spans="1:13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K457" t="s">
        <v>1237</v>
      </c>
      <c r="L457" t="s">
        <v>20</v>
      </c>
      <c r="M457" t="str">
        <f t="shared" si="7"/>
        <v>Adult</v>
      </c>
    </row>
    <row r="458" spans="1:13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  <c r="M458" t="str">
        <f t="shared" si="7"/>
        <v>Senior</v>
      </c>
    </row>
    <row r="459" spans="1:13">
      <c r="A459">
        <v>458</v>
      </c>
      <c r="B459">
        <v>1</v>
      </c>
      <c r="C459">
        <v>1</v>
      </c>
      <c r="D459" t="s">
        <v>661</v>
      </c>
      <c r="E459" t="s">
        <v>17</v>
      </c>
      <c r="F459">
        <v>28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  <c r="M459" t="str">
        <f t="shared" si="7"/>
        <v>Adult</v>
      </c>
    </row>
    <row r="460" spans="1:13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K460" t="s">
        <v>1237</v>
      </c>
      <c r="L460" t="s">
        <v>15</v>
      </c>
      <c r="M460" t="str">
        <f t="shared" si="7"/>
        <v>Middle Age</v>
      </c>
    </row>
    <row r="461" spans="1:13">
      <c r="A461">
        <v>460</v>
      </c>
      <c r="B461">
        <v>0</v>
      </c>
      <c r="C461">
        <v>3</v>
      </c>
      <c r="D461" t="s">
        <v>665</v>
      </c>
      <c r="E461" t="s">
        <v>13</v>
      </c>
      <c r="F461">
        <v>28</v>
      </c>
      <c r="G461">
        <v>0</v>
      </c>
      <c r="H461">
        <v>0</v>
      </c>
      <c r="I461">
        <v>371060</v>
      </c>
      <c r="J461">
        <v>7.75</v>
      </c>
      <c r="K461" t="s">
        <v>1237</v>
      </c>
      <c r="L461" t="s">
        <v>27</v>
      </c>
      <c r="M461" t="str">
        <f t="shared" si="7"/>
        <v>Adult</v>
      </c>
    </row>
    <row r="462" spans="1:13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  <c r="M462" t="str">
        <f t="shared" si="7"/>
        <v>Middle Age</v>
      </c>
    </row>
    <row r="463" spans="1:13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K463" t="s">
        <v>1237</v>
      </c>
      <c r="L463" t="s">
        <v>15</v>
      </c>
      <c r="M463" t="str">
        <f t="shared" si="7"/>
        <v>Adult</v>
      </c>
    </row>
    <row r="464" spans="1:13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  <c r="M464" t="str">
        <f t="shared" si="7"/>
        <v>Middle Age</v>
      </c>
    </row>
    <row r="465" spans="1:13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K465" t="s">
        <v>1237</v>
      </c>
      <c r="L465" t="s">
        <v>15</v>
      </c>
      <c r="M465" t="str">
        <f t="shared" si="7"/>
        <v>Middle Age</v>
      </c>
    </row>
    <row r="466" spans="1:13">
      <c r="A466">
        <v>465</v>
      </c>
      <c r="B466">
        <v>0</v>
      </c>
      <c r="C466">
        <v>3</v>
      </c>
      <c r="D466" t="s">
        <v>672</v>
      </c>
      <c r="E466" t="s">
        <v>13</v>
      </c>
      <c r="F466">
        <v>28</v>
      </c>
      <c r="G466">
        <v>0</v>
      </c>
      <c r="H466">
        <v>0</v>
      </c>
      <c r="I466" t="s">
        <v>673</v>
      </c>
      <c r="J466">
        <v>8.0500000000000007</v>
      </c>
      <c r="K466" t="s">
        <v>1237</v>
      </c>
      <c r="L466" t="s">
        <v>15</v>
      </c>
      <c r="M466" t="str">
        <f t="shared" si="7"/>
        <v>Adult</v>
      </c>
    </row>
    <row r="467" spans="1:13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K467" t="s">
        <v>1237</v>
      </c>
      <c r="L467" t="s">
        <v>15</v>
      </c>
      <c r="M467" t="str">
        <f t="shared" si="7"/>
        <v>Adult</v>
      </c>
    </row>
    <row r="468" spans="1:13">
      <c r="A468">
        <v>467</v>
      </c>
      <c r="B468">
        <v>0</v>
      </c>
      <c r="C468">
        <v>2</v>
      </c>
      <c r="D468" t="s">
        <v>676</v>
      </c>
      <c r="E468" t="s">
        <v>13</v>
      </c>
      <c r="F468">
        <v>28</v>
      </c>
      <c r="G468">
        <v>0</v>
      </c>
      <c r="H468">
        <v>0</v>
      </c>
      <c r="I468">
        <v>239853</v>
      </c>
      <c r="J468">
        <v>0</v>
      </c>
      <c r="K468" t="s">
        <v>1237</v>
      </c>
      <c r="L468" t="s">
        <v>15</v>
      </c>
      <c r="M468" t="str">
        <f t="shared" si="7"/>
        <v>Adult</v>
      </c>
    </row>
    <row r="469" spans="1:13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K469" t="s">
        <v>1237</v>
      </c>
      <c r="L469" t="s">
        <v>15</v>
      </c>
      <c r="M469" t="str">
        <f t="shared" si="7"/>
        <v>Middle Age</v>
      </c>
    </row>
    <row r="470" spans="1:13">
      <c r="A470">
        <v>469</v>
      </c>
      <c r="B470">
        <v>0</v>
      </c>
      <c r="C470">
        <v>3</v>
      </c>
      <c r="D470" t="s">
        <v>678</v>
      </c>
      <c r="E470" t="s">
        <v>13</v>
      </c>
      <c r="F470">
        <v>28</v>
      </c>
      <c r="G470">
        <v>0</v>
      </c>
      <c r="H470">
        <v>0</v>
      </c>
      <c r="I470">
        <v>36209</v>
      </c>
      <c r="J470">
        <v>7.7249999999999996</v>
      </c>
      <c r="K470" t="s">
        <v>1237</v>
      </c>
      <c r="L470" t="s">
        <v>27</v>
      </c>
      <c r="M470" t="str">
        <f t="shared" si="7"/>
        <v>Adult</v>
      </c>
    </row>
    <row r="471" spans="1:13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K471" t="s">
        <v>1237</v>
      </c>
      <c r="L471" t="s">
        <v>20</v>
      </c>
      <c r="M471" t="str">
        <f t="shared" si="7"/>
        <v>Child</v>
      </c>
    </row>
    <row r="472" spans="1:13">
      <c r="A472">
        <v>471</v>
      </c>
      <c r="B472">
        <v>0</v>
      </c>
      <c r="C472">
        <v>3</v>
      </c>
      <c r="D472" t="s">
        <v>680</v>
      </c>
      <c r="E472" t="s">
        <v>13</v>
      </c>
      <c r="F472">
        <v>28</v>
      </c>
      <c r="G472">
        <v>0</v>
      </c>
      <c r="H472">
        <v>0</v>
      </c>
      <c r="I472">
        <v>323592</v>
      </c>
      <c r="J472">
        <v>7.25</v>
      </c>
      <c r="K472" t="s">
        <v>1237</v>
      </c>
      <c r="L472" t="s">
        <v>15</v>
      </c>
      <c r="M472" t="str">
        <f t="shared" si="7"/>
        <v>Adult</v>
      </c>
    </row>
    <row r="473" spans="1:13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K473" t="s">
        <v>1237</v>
      </c>
      <c r="L473" t="s">
        <v>15</v>
      </c>
      <c r="M473" t="str">
        <f t="shared" si="7"/>
        <v>Adult</v>
      </c>
    </row>
    <row r="474" spans="1:13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K474" t="s">
        <v>1237</v>
      </c>
      <c r="L474" t="s">
        <v>15</v>
      </c>
      <c r="M474" t="str">
        <f t="shared" si="7"/>
        <v>Adult</v>
      </c>
    </row>
    <row r="475" spans="1:13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  <c r="M475" t="str">
        <f t="shared" si="7"/>
        <v>Adult</v>
      </c>
    </row>
    <row r="476" spans="1:13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K476" t="s">
        <v>1237</v>
      </c>
      <c r="L476" t="s">
        <v>15</v>
      </c>
      <c r="M476" t="str">
        <f t="shared" si="7"/>
        <v>Adult</v>
      </c>
    </row>
    <row r="477" spans="1:13">
      <c r="A477">
        <v>476</v>
      </c>
      <c r="B477">
        <v>0</v>
      </c>
      <c r="C477">
        <v>1</v>
      </c>
      <c r="D477" t="s">
        <v>686</v>
      </c>
      <c r="E477" t="s">
        <v>13</v>
      </c>
      <c r="F477">
        <v>28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  <c r="M477" t="str">
        <f t="shared" si="7"/>
        <v>Adult</v>
      </c>
    </row>
    <row r="478" spans="1:13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K478" t="s">
        <v>1237</v>
      </c>
      <c r="L478" t="s">
        <v>15</v>
      </c>
      <c r="M478" t="str">
        <f t="shared" si="7"/>
        <v>Adult</v>
      </c>
    </row>
    <row r="479" spans="1:13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K479" t="s">
        <v>1237</v>
      </c>
      <c r="L479" t="s">
        <v>15</v>
      </c>
      <c r="M479" t="str">
        <f t="shared" si="7"/>
        <v>Adult</v>
      </c>
    </row>
    <row r="480" spans="1:13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K480" t="s">
        <v>1237</v>
      </c>
      <c r="L480" t="s">
        <v>15</v>
      </c>
      <c r="M480" t="str">
        <f t="shared" si="7"/>
        <v>Adult</v>
      </c>
    </row>
    <row r="481" spans="1:13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K481" t="s">
        <v>1237</v>
      </c>
      <c r="L481" t="s">
        <v>15</v>
      </c>
      <c r="M481" t="str">
        <f t="shared" si="7"/>
        <v>Child</v>
      </c>
    </row>
    <row r="482" spans="1:13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K482" t="s">
        <v>1237</v>
      </c>
      <c r="L482" t="s">
        <v>15</v>
      </c>
      <c r="M482" t="str">
        <f t="shared" si="7"/>
        <v>Child</v>
      </c>
    </row>
    <row r="483" spans="1:13">
      <c r="A483">
        <v>482</v>
      </c>
      <c r="B483">
        <v>0</v>
      </c>
      <c r="C483">
        <v>2</v>
      </c>
      <c r="D483" t="s">
        <v>693</v>
      </c>
      <c r="E483" t="s">
        <v>13</v>
      </c>
      <c r="F483">
        <v>28</v>
      </c>
      <c r="G483">
        <v>0</v>
      </c>
      <c r="H483">
        <v>0</v>
      </c>
      <c r="I483">
        <v>239854</v>
      </c>
      <c r="J483">
        <v>0</v>
      </c>
      <c r="K483" t="s">
        <v>1237</v>
      </c>
      <c r="L483" t="s">
        <v>15</v>
      </c>
      <c r="M483" t="str">
        <f t="shared" si="7"/>
        <v>Adult</v>
      </c>
    </row>
    <row r="484" spans="1:13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K484" t="s">
        <v>1237</v>
      </c>
      <c r="L484" t="s">
        <v>15</v>
      </c>
      <c r="M484" t="str">
        <f t="shared" si="7"/>
        <v>Middle Age</v>
      </c>
    </row>
    <row r="485" spans="1:13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K485" t="s">
        <v>1237</v>
      </c>
      <c r="L485" t="s">
        <v>15</v>
      </c>
      <c r="M485" t="str">
        <f t="shared" si="7"/>
        <v>Senior</v>
      </c>
    </row>
    <row r="486" spans="1:13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  <c r="M486" t="str">
        <f t="shared" si="7"/>
        <v>Adult</v>
      </c>
    </row>
    <row r="487" spans="1:13">
      <c r="A487">
        <v>486</v>
      </c>
      <c r="B487">
        <v>0</v>
      </c>
      <c r="C487">
        <v>3</v>
      </c>
      <c r="D487" t="s">
        <v>698</v>
      </c>
      <c r="E487" t="s">
        <v>17</v>
      </c>
      <c r="F487">
        <v>28</v>
      </c>
      <c r="G487">
        <v>3</v>
      </c>
      <c r="H487">
        <v>1</v>
      </c>
      <c r="I487">
        <v>4133</v>
      </c>
      <c r="J487">
        <v>25.466699999999999</v>
      </c>
      <c r="K487" t="s">
        <v>1237</v>
      </c>
      <c r="L487" t="s">
        <v>15</v>
      </c>
      <c r="M487" t="str">
        <f t="shared" si="7"/>
        <v>Adult</v>
      </c>
    </row>
    <row r="488" spans="1:13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  <c r="M488" t="str">
        <f t="shared" si="7"/>
        <v>Adult</v>
      </c>
    </row>
    <row r="489" spans="1:13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  <c r="M489" t="str">
        <f t="shared" si="7"/>
        <v>Middle Age</v>
      </c>
    </row>
    <row r="490" spans="1:13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K490" t="s">
        <v>1237</v>
      </c>
      <c r="L490" t="s">
        <v>15</v>
      </c>
      <c r="M490" t="str">
        <f t="shared" si="7"/>
        <v>Adult</v>
      </c>
    </row>
    <row r="491" spans="1:13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K491" t="s">
        <v>1237</v>
      </c>
      <c r="L491" t="s">
        <v>15</v>
      </c>
      <c r="M491" t="str">
        <f t="shared" si="7"/>
        <v>Child</v>
      </c>
    </row>
    <row r="492" spans="1:13">
      <c r="A492">
        <v>491</v>
      </c>
      <c r="B492">
        <v>0</v>
      </c>
      <c r="C492">
        <v>3</v>
      </c>
      <c r="D492" t="s">
        <v>705</v>
      </c>
      <c r="E492" t="s">
        <v>13</v>
      </c>
      <c r="F492">
        <v>28</v>
      </c>
      <c r="G492">
        <v>1</v>
      </c>
      <c r="H492">
        <v>0</v>
      </c>
      <c r="I492">
        <v>65304</v>
      </c>
      <c r="J492">
        <v>19.966699999999999</v>
      </c>
      <c r="K492" t="s">
        <v>1237</v>
      </c>
      <c r="L492" t="s">
        <v>15</v>
      </c>
      <c r="M492" t="str">
        <f t="shared" si="7"/>
        <v>Adult</v>
      </c>
    </row>
    <row r="493" spans="1:13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K493" t="s">
        <v>1237</v>
      </c>
      <c r="L493" t="s">
        <v>15</v>
      </c>
      <c r="M493" t="str">
        <f t="shared" si="7"/>
        <v>Adult</v>
      </c>
    </row>
    <row r="494" spans="1:13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  <c r="M494" t="str">
        <f t="shared" si="7"/>
        <v>Middle Age</v>
      </c>
    </row>
    <row r="495" spans="1:13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K495" t="s">
        <v>1237</v>
      </c>
      <c r="L495" t="s">
        <v>20</v>
      </c>
      <c r="M495" t="str">
        <f t="shared" si="7"/>
        <v>Senior</v>
      </c>
    </row>
    <row r="496" spans="1:13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K496" t="s">
        <v>1237</v>
      </c>
      <c r="L496" t="s">
        <v>15</v>
      </c>
      <c r="M496" t="str">
        <f t="shared" si="7"/>
        <v>Adult</v>
      </c>
    </row>
    <row r="497" spans="1:13">
      <c r="A497">
        <v>496</v>
      </c>
      <c r="B497">
        <v>0</v>
      </c>
      <c r="C497">
        <v>3</v>
      </c>
      <c r="D497" t="s">
        <v>714</v>
      </c>
      <c r="E497" t="s">
        <v>13</v>
      </c>
      <c r="F497">
        <v>28</v>
      </c>
      <c r="G497">
        <v>0</v>
      </c>
      <c r="H497">
        <v>0</v>
      </c>
      <c r="I497">
        <v>2627</v>
      </c>
      <c r="J497">
        <v>14.458299999999999</v>
      </c>
      <c r="K497" t="s">
        <v>1237</v>
      </c>
      <c r="L497" t="s">
        <v>20</v>
      </c>
      <c r="M497" t="str">
        <f t="shared" si="7"/>
        <v>Adult</v>
      </c>
    </row>
    <row r="498" spans="1:13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  <c r="M498" t="str">
        <f t="shared" si="7"/>
        <v>Middle Age</v>
      </c>
    </row>
    <row r="499" spans="1:13">
      <c r="A499">
        <v>498</v>
      </c>
      <c r="B499">
        <v>0</v>
      </c>
      <c r="C499">
        <v>3</v>
      </c>
      <c r="D499" t="s">
        <v>717</v>
      </c>
      <c r="E499" t="s">
        <v>13</v>
      </c>
      <c r="F499">
        <v>28</v>
      </c>
      <c r="G499">
        <v>0</v>
      </c>
      <c r="H499">
        <v>0</v>
      </c>
      <c r="I499" t="s">
        <v>718</v>
      </c>
      <c r="J499">
        <v>15.1</v>
      </c>
      <c r="K499" t="s">
        <v>1237</v>
      </c>
      <c r="L499" t="s">
        <v>15</v>
      </c>
      <c r="M499" t="str">
        <f t="shared" si="7"/>
        <v>Adult</v>
      </c>
    </row>
    <row r="500" spans="1:13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  <c r="M500" t="str">
        <f t="shared" si="7"/>
        <v>Adult</v>
      </c>
    </row>
    <row r="501" spans="1:13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K501" t="s">
        <v>1237</v>
      </c>
      <c r="L501" t="s">
        <v>15</v>
      </c>
      <c r="M501" t="str">
        <f t="shared" si="7"/>
        <v>Adult</v>
      </c>
    </row>
    <row r="502" spans="1:13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K502" t="s">
        <v>1237</v>
      </c>
      <c r="L502" t="s">
        <v>15</v>
      </c>
      <c r="M502" t="str">
        <f t="shared" si="7"/>
        <v>Teenager</v>
      </c>
    </row>
    <row r="503" spans="1:13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K503" t="s">
        <v>1237</v>
      </c>
      <c r="L503" t="s">
        <v>27</v>
      </c>
      <c r="M503" t="str">
        <f t="shared" si="7"/>
        <v>Adult</v>
      </c>
    </row>
    <row r="504" spans="1:13">
      <c r="A504">
        <v>503</v>
      </c>
      <c r="B504">
        <v>0</v>
      </c>
      <c r="C504">
        <v>3</v>
      </c>
      <c r="D504" t="s">
        <v>723</v>
      </c>
      <c r="E504" t="s">
        <v>17</v>
      </c>
      <c r="F504">
        <v>28</v>
      </c>
      <c r="G504">
        <v>0</v>
      </c>
      <c r="H504">
        <v>0</v>
      </c>
      <c r="I504">
        <v>330909</v>
      </c>
      <c r="J504">
        <v>7.6292</v>
      </c>
      <c r="K504" t="s">
        <v>1237</v>
      </c>
      <c r="L504" t="s">
        <v>27</v>
      </c>
      <c r="M504" t="str">
        <f t="shared" si="7"/>
        <v>Adult</v>
      </c>
    </row>
    <row r="505" spans="1:13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K505" t="s">
        <v>1237</v>
      </c>
      <c r="L505" t="s">
        <v>15</v>
      </c>
      <c r="M505" t="str">
        <f t="shared" si="7"/>
        <v>Adult</v>
      </c>
    </row>
    <row r="506" spans="1:13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  <c r="M506" t="str">
        <f t="shared" si="7"/>
        <v>Teenager</v>
      </c>
    </row>
    <row r="507" spans="1:13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  <c r="M507" t="str">
        <f t="shared" si="7"/>
        <v>Teenager</v>
      </c>
    </row>
    <row r="508" spans="1:13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K508" t="s">
        <v>1237</v>
      </c>
      <c r="L508" t="s">
        <v>15</v>
      </c>
      <c r="M508" t="str">
        <f t="shared" si="7"/>
        <v>Adult</v>
      </c>
    </row>
    <row r="509" spans="1:13">
      <c r="A509">
        <v>508</v>
      </c>
      <c r="B509">
        <v>1</v>
      </c>
      <c r="C509">
        <v>1</v>
      </c>
      <c r="D509" t="s">
        <v>729</v>
      </c>
      <c r="E509" t="s">
        <v>13</v>
      </c>
      <c r="F509">
        <v>28</v>
      </c>
      <c r="G509">
        <v>0</v>
      </c>
      <c r="H509">
        <v>0</v>
      </c>
      <c r="I509">
        <v>111427</v>
      </c>
      <c r="J509">
        <v>26.55</v>
      </c>
      <c r="K509" t="s">
        <v>1237</v>
      </c>
      <c r="L509" t="s">
        <v>15</v>
      </c>
      <c r="M509" t="str">
        <f t="shared" si="7"/>
        <v>Adult</v>
      </c>
    </row>
    <row r="510" spans="1:13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K510" t="s">
        <v>1237</v>
      </c>
      <c r="L510" t="s">
        <v>15</v>
      </c>
      <c r="M510" t="str">
        <f t="shared" si="7"/>
        <v>Adult</v>
      </c>
    </row>
    <row r="511" spans="1:13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K511" t="s">
        <v>1237</v>
      </c>
      <c r="L511" t="s">
        <v>15</v>
      </c>
      <c r="M511" t="str">
        <f t="shared" si="7"/>
        <v>Adult</v>
      </c>
    </row>
    <row r="512" spans="1:13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K512" t="s">
        <v>1237</v>
      </c>
      <c r="L512" t="s">
        <v>27</v>
      </c>
      <c r="M512" t="str">
        <f t="shared" si="7"/>
        <v>Adult</v>
      </c>
    </row>
    <row r="513" spans="1:13">
      <c r="A513">
        <v>512</v>
      </c>
      <c r="B513">
        <v>0</v>
      </c>
      <c r="C513">
        <v>3</v>
      </c>
      <c r="D513" t="s">
        <v>734</v>
      </c>
      <c r="E513" t="s">
        <v>13</v>
      </c>
      <c r="F513">
        <v>28</v>
      </c>
      <c r="G513">
        <v>0</v>
      </c>
      <c r="H513">
        <v>0</v>
      </c>
      <c r="I513" t="s">
        <v>735</v>
      </c>
      <c r="J513">
        <v>8.0500000000000007</v>
      </c>
      <c r="K513" t="s">
        <v>1237</v>
      </c>
      <c r="L513" t="s">
        <v>15</v>
      </c>
      <c r="M513" t="str">
        <f t="shared" si="7"/>
        <v>Adult</v>
      </c>
    </row>
    <row r="514" spans="1:13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  <c r="M514" t="str">
        <f t="shared" ref="M514:M577" si="8">IF(F514&lt;13,"Child",IF(F514&lt;20,"Teenager",IF(F514&lt;40,"Adult",IF(F514&lt;60,"Middle Age","Senior"))))</f>
        <v>Adult</v>
      </c>
    </row>
    <row r="515" spans="1:13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K515" t="s">
        <v>1237</v>
      </c>
      <c r="L515" t="s">
        <v>20</v>
      </c>
      <c r="M515" t="str">
        <f t="shared" si="8"/>
        <v>Middle Age</v>
      </c>
    </row>
    <row r="516" spans="1:13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K516" t="s">
        <v>1237</v>
      </c>
      <c r="L516" t="s">
        <v>15</v>
      </c>
      <c r="M516" t="str">
        <f t="shared" si="8"/>
        <v>Adult</v>
      </c>
    </row>
    <row r="517" spans="1:13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  <c r="M517" t="str">
        <f t="shared" si="8"/>
        <v>Middle Age</v>
      </c>
    </row>
    <row r="518" spans="1:13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  <c r="M518" t="str">
        <f t="shared" si="8"/>
        <v>Adult</v>
      </c>
    </row>
    <row r="519" spans="1:13">
      <c r="A519">
        <v>518</v>
      </c>
      <c r="B519">
        <v>0</v>
      </c>
      <c r="C519">
        <v>3</v>
      </c>
      <c r="D519" t="s">
        <v>746</v>
      </c>
      <c r="E519" t="s">
        <v>13</v>
      </c>
      <c r="F519">
        <v>28</v>
      </c>
      <c r="G519">
        <v>0</v>
      </c>
      <c r="H519">
        <v>0</v>
      </c>
      <c r="I519">
        <v>371110</v>
      </c>
      <c r="J519">
        <v>24.15</v>
      </c>
      <c r="K519" t="s">
        <v>1237</v>
      </c>
      <c r="L519" t="s">
        <v>27</v>
      </c>
      <c r="M519" t="str">
        <f t="shared" si="8"/>
        <v>Adult</v>
      </c>
    </row>
    <row r="520" spans="1:13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K520" t="s">
        <v>1237</v>
      </c>
      <c r="L520" t="s">
        <v>15</v>
      </c>
      <c r="M520" t="str">
        <f t="shared" si="8"/>
        <v>Adult</v>
      </c>
    </row>
    <row r="521" spans="1:13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K521" t="s">
        <v>1237</v>
      </c>
      <c r="L521" t="s">
        <v>15</v>
      </c>
      <c r="M521" t="str">
        <f t="shared" si="8"/>
        <v>Adult</v>
      </c>
    </row>
    <row r="522" spans="1:13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  <c r="M522" t="str">
        <f t="shared" si="8"/>
        <v>Adult</v>
      </c>
    </row>
    <row r="523" spans="1:13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K523" t="s">
        <v>1237</v>
      </c>
      <c r="L523" t="s">
        <v>15</v>
      </c>
      <c r="M523" t="str">
        <f t="shared" si="8"/>
        <v>Adult</v>
      </c>
    </row>
    <row r="524" spans="1:13">
      <c r="A524">
        <v>523</v>
      </c>
      <c r="B524">
        <v>0</v>
      </c>
      <c r="C524">
        <v>3</v>
      </c>
      <c r="D524" t="s">
        <v>752</v>
      </c>
      <c r="E524" t="s">
        <v>13</v>
      </c>
      <c r="F524">
        <v>28</v>
      </c>
      <c r="G524">
        <v>0</v>
      </c>
      <c r="H524">
        <v>0</v>
      </c>
      <c r="I524">
        <v>2624</v>
      </c>
      <c r="J524">
        <v>7.2249999999999996</v>
      </c>
      <c r="K524" t="s">
        <v>1237</v>
      </c>
      <c r="L524" t="s">
        <v>20</v>
      </c>
      <c r="M524" t="str">
        <f t="shared" si="8"/>
        <v>Adult</v>
      </c>
    </row>
    <row r="525" spans="1:13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  <c r="M525" t="str">
        <f t="shared" si="8"/>
        <v>Middle Age</v>
      </c>
    </row>
    <row r="526" spans="1:13">
      <c r="A526">
        <v>525</v>
      </c>
      <c r="B526">
        <v>0</v>
      </c>
      <c r="C526">
        <v>3</v>
      </c>
      <c r="D526" t="s">
        <v>754</v>
      </c>
      <c r="E526" t="s">
        <v>13</v>
      </c>
      <c r="F526">
        <v>28</v>
      </c>
      <c r="G526">
        <v>0</v>
      </c>
      <c r="H526">
        <v>0</v>
      </c>
      <c r="I526">
        <v>2700</v>
      </c>
      <c r="J526">
        <v>7.2291999999999996</v>
      </c>
      <c r="K526" t="s">
        <v>1237</v>
      </c>
      <c r="L526" t="s">
        <v>20</v>
      </c>
      <c r="M526" t="str">
        <f t="shared" si="8"/>
        <v>Adult</v>
      </c>
    </row>
    <row r="527" spans="1:13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K527" t="s">
        <v>1237</v>
      </c>
      <c r="L527" t="s">
        <v>27</v>
      </c>
      <c r="M527" t="str">
        <f t="shared" si="8"/>
        <v>Middle Age</v>
      </c>
    </row>
    <row r="528" spans="1:13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K528" t="s">
        <v>1237</v>
      </c>
      <c r="L528" t="s">
        <v>15</v>
      </c>
      <c r="M528" t="str">
        <f t="shared" si="8"/>
        <v>Middle Age</v>
      </c>
    </row>
    <row r="529" spans="1:13">
      <c r="A529">
        <v>528</v>
      </c>
      <c r="B529">
        <v>0</v>
      </c>
      <c r="C529">
        <v>1</v>
      </c>
      <c r="D529" t="s">
        <v>758</v>
      </c>
      <c r="E529" t="s">
        <v>13</v>
      </c>
      <c r="F529">
        <v>28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  <c r="M529" t="str">
        <f t="shared" si="8"/>
        <v>Adult</v>
      </c>
    </row>
    <row r="530" spans="1:13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K530" t="s">
        <v>1237</v>
      </c>
      <c r="L530" t="s">
        <v>15</v>
      </c>
      <c r="M530" t="str">
        <f t="shared" si="8"/>
        <v>Adult</v>
      </c>
    </row>
    <row r="531" spans="1:13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K531" t="s">
        <v>1237</v>
      </c>
      <c r="L531" t="s">
        <v>15</v>
      </c>
      <c r="M531" t="str">
        <f t="shared" si="8"/>
        <v>Adult</v>
      </c>
    </row>
    <row r="532" spans="1:13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K532" t="s">
        <v>1237</v>
      </c>
      <c r="L532" t="s">
        <v>15</v>
      </c>
      <c r="M532" t="str">
        <f t="shared" si="8"/>
        <v>Child</v>
      </c>
    </row>
    <row r="533" spans="1:13">
      <c r="A533">
        <v>532</v>
      </c>
      <c r="B533">
        <v>0</v>
      </c>
      <c r="C533">
        <v>3</v>
      </c>
      <c r="D533" t="s">
        <v>764</v>
      </c>
      <c r="E533" t="s">
        <v>13</v>
      </c>
      <c r="F533">
        <v>28</v>
      </c>
      <c r="G533">
        <v>0</v>
      </c>
      <c r="H533">
        <v>0</v>
      </c>
      <c r="I533">
        <v>2641</v>
      </c>
      <c r="J533">
        <v>7.2291999999999996</v>
      </c>
      <c r="K533" t="s">
        <v>1237</v>
      </c>
      <c r="L533" t="s">
        <v>20</v>
      </c>
      <c r="M533" t="str">
        <f t="shared" si="8"/>
        <v>Adult</v>
      </c>
    </row>
    <row r="534" spans="1:13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K534" t="s">
        <v>1237</v>
      </c>
      <c r="L534" t="s">
        <v>20</v>
      </c>
      <c r="M534" t="str">
        <f t="shared" si="8"/>
        <v>Teenager</v>
      </c>
    </row>
    <row r="535" spans="1:13">
      <c r="A535">
        <v>534</v>
      </c>
      <c r="B535">
        <v>1</v>
      </c>
      <c r="C535">
        <v>3</v>
      </c>
      <c r="D535" t="s">
        <v>766</v>
      </c>
      <c r="E535" t="s">
        <v>17</v>
      </c>
      <c r="F535">
        <v>28</v>
      </c>
      <c r="G535">
        <v>0</v>
      </c>
      <c r="H535">
        <v>2</v>
      </c>
      <c r="I535">
        <v>2668</v>
      </c>
      <c r="J535">
        <v>22.3583</v>
      </c>
      <c r="K535" t="s">
        <v>1237</v>
      </c>
      <c r="L535" t="s">
        <v>20</v>
      </c>
      <c r="M535" t="str">
        <f t="shared" si="8"/>
        <v>Adult</v>
      </c>
    </row>
    <row r="536" spans="1:13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K536" t="s">
        <v>1237</v>
      </c>
      <c r="L536" t="s">
        <v>15</v>
      </c>
      <c r="M536" t="str">
        <f t="shared" si="8"/>
        <v>Adult</v>
      </c>
    </row>
    <row r="537" spans="1:13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K537" t="s">
        <v>1237</v>
      </c>
      <c r="L537" t="s">
        <v>15</v>
      </c>
      <c r="M537" t="str">
        <f t="shared" si="8"/>
        <v>Child</v>
      </c>
    </row>
    <row r="538" spans="1:13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  <c r="M538" t="str">
        <f t="shared" si="8"/>
        <v>Middle Age</v>
      </c>
    </row>
    <row r="539" spans="1:13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K539" t="s">
        <v>1237</v>
      </c>
      <c r="L539" t="s">
        <v>20</v>
      </c>
      <c r="M539" t="str">
        <f t="shared" si="8"/>
        <v>Adult</v>
      </c>
    </row>
    <row r="540" spans="1:13">
      <c r="A540">
        <v>539</v>
      </c>
      <c r="B540">
        <v>0</v>
      </c>
      <c r="C540">
        <v>3</v>
      </c>
      <c r="D540" t="s">
        <v>773</v>
      </c>
      <c r="E540" t="s">
        <v>13</v>
      </c>
      <c r="F540">
        <v>28</v>
      </c>
      <c r="G540">
        <v>0</v>
      </c>
      <c r="H540">
        <v>0</v>
      </c>
      <c r="I540">
        <v>364498</v>
      </c>
      <c r="J540">
        <v>14.5</v>
      </c>
      <c r="K540" t="s">
        <v>1237</v>
      </c>
      <c r="L540" t="s">
        <v>15</v>
      </c>
      <c r="M540" t="str">
        <f t="shared" si="8"/>
        <v>Adult</v>
      </c>
    </row>
    <row r="541" spans="1:13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  <c r="M541" t="str">
        <f t="shared" si="8"/>
        <v>Adult</v>
      </c>
    </row>
    <row r="542" spans="1:13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  <c r="M542" t="str">
        <f t="shared" si="8"/>
        <v>Adult</v>
      </c>
    </row>
    <row r="543" spans="1:13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K543" t="s">
        <v>1237</v>
      </c>
      <c r="L543" t="s">
        <v>15</v>
      </c>
      <c r="M543" t="str">
        <f t="shared" si="8"/>
        <v>Child</v>
      </c>
    </row>
    <row r="544" spans="1:13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K544" t="s">
        <v>1237</v>
      </c>
      <c r="L544" t="s">
        <v>15</v>
      </c>
      <c r="M544" t="str">
        <f t="shared" si="8"/>
        <v>Child</v>
      </c>
    </row>
    <row r="545" spans="1:13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K545" t="s">
        <v>1237</v>
      </c>
      <c r="L545" t="s">
        <v>15</v>
      </c>
      <c r="M545" t="str">
        <f t="shared" si="8"/>
        <v>Adult</v>
      </c>
    </row>
    <row r="546" spans="1:13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  <c r="M546" t="str">
        <f t="shared" si="8"/>
        <v>Middle Age</v>
      </c>
    </row>
    <row r="547" spans="1:13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K547" t="s">
        <v>1237</v>
      </c>
      <c r="L547" t="s">
        <v>15</v>
      </c>
      <c r="M547" t="str">
        <f t="shared" si="8"/>
        <v>Senior</v>
      </c>
    </row>
    <row r="548" spans="1:13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K548" t="s">
        <v>1237</v>
      </c>
      <c r="L548" t="s">
        <v>15</v>
      </c>
      <c r="M548" t="str">
        <f t="shared" si="8"/>
        <v>Teenager</v>
      </c>
    </row>
    <row r="549" spans="1:13">
      <c r="A549">
        <v>548</v>
      </c>
      <c r="B549">
        <v>1</v>
      </c>
      <c r="C549">
        <v>2</v>
      </c>
      <c r="D549" t="s">
        <v>786</v>
      </c>
      <c r="E549" t="s">
        <v>13</v>
      </c>
      <c r="F549">
        <v>28</v>
      </c>
      <c r="G549">
        <v>0</v>
      </c>
      <c r="H549">
        <v>0</v>
      </c>
      <c r="I549" t="s">
        <v>787</v>
      </c>
      <c r="J549">
        <v>13.862500000000001</v>
      </c>
      <c r="K549" t="s">
        <v>1237</v>
      </c>
      <c r="L549" t="s">
        <v>20</v>
      </c>
      <c r="M549" t="str">
        <f t="shared" si="8"/>
        <v>Adult</v>
      </c>
    </row>
    <row r="550" spans="1:13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K550" t="s">
        <v>1237</v>
      </c>
      <c r="L550" t="s">
        <v>15</v>
      </c>
      <c r="M550" t="str">
        <f t="shared" si="8"/>
        <v>Adult</v>
      </c>
    </row>
    <row r="551" spans="1:13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K551" t="s">
        <v>1237</v>
      </c>
      <c r="L551" t="s">
        <v>15</v>
      </c>
      <c r="M551" t="str">
        <f t="shared" si="8"/>
        <v>Child</v>
      </c>
    </row>
    <row r="552" spans="1:13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  <c r="M552" t="str">
        <f t="shared" si="8"/>
        <v>Teenager</v>
      </c>
    </row>
    <row r="553" spans="1:13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K553" t="s">
        <v>1237</v>
      </c>
      <c r="L553" t="s">
        <v>15</v>
      </c>
      <c r="M553" t="str">
        <f t="shared" si="8"/>
        <v>Adult</v>
      </c>
    </row>
    <row r="554" spans="1:13">
      <c r="A554">
        <v>553</v>
      </c>
      <c r="B554">
        <v>0</v>
      </c>
      <c r="C554">
        <v>3</v>
      </c>
      <c r="D554" t="s">
        <v>793</v>
      </c>
      <c r="E554" t="s">
        <v>13</v>
      </c>
      <c r="F554">
        <v>28</v>
      </c>
      <c r="G554">
        <v>0</v>
      </c>
      <c r="H554">
        <v>0</v>
      </c>
      <c r="I554">
        <v>330979</v>
      </c>
      <c r="J554">
        <v>7.8292000000000002</v>
      </c>
      <c r="K554" t="s">
        <v>1237</v>
      </c>
      <c r="L554" t="s">
        <v>27</v>
      </c>
      <c r="M554" t="str">
        <f t="shared" si="8"/>
        <v>Adult</v>
      </c>
    </row>
    <row r="555" spans="1:13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K555" t="s">
        <v>1237</v>
      </c>
      <c r="L555" t="s">
        <v>20</v>
      </c>
      <c r="M555" t="str">
        <f t="shared" si="8"/>
        <v>Adult</v>
      </c>
    </row>
    <row r="556" spans="1:13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K556" t="s">
        <v>1237</v>
      </c>
      <c r="L556" t="s">
        <v>15</v>
      </c>
      <c r="M556" t="str">
        <f t="shared" si="8"/>
        <v>Adult</v>
      </c>
    </row>
    <row r="557" spans="1:13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K557" t="s">
        <v>1237</v>
      </c>
      <c r="L557" t="s">
        <v>15</v>
      </c>
      <c r="M557" t="str">
        <f t="shared" si="8"/>
        <v>Senior</v>
      </c>
    </row>
    <row r="558" spans="1:13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  <c r="M558" t="str">
        <f t="shared" si="8"/>
        <v>Middle Age</v>
      </c>
    </row>
    <row r="559" spans="1:13">
      <c r="A559">
        <v>558</v>
      </c>
      <c r="B559">
        <v>0</v>
      </c>
      <c r="C559">
        <v>1</v>
      </c>
      <c r="D559" t="s">
        <v>799</v>
      </c>
      <c r="E559" t="s">
        <v>13</v>
      </c>
      <c r="F559">
        <v>28</v>
      </c>
      <c r="G559">
        <v>0</v>
      </c>
      <c r="H559">
        <v>0</v>
      </c>
      <c r="I559" t="s">
        <v>565</v>
      </c>
      <c r="J559">
        <v>227.52500000000001</v>
      </c>
      <c r="K559" t="s">
        <v>1237</v>
      </c>
      <c r="L559" t="s">
        <v>20</v>
      </c>
      <c r="M559" t="str">
        <f t="shared" si="8"/>
        <v>Adult</v>
      </c>
    </row>
    <row r="560" spans="1:13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  <c r="M560" t="str">
        <f t="shared" si="8"/>
        <v>Adult</v>
      </c>
    </row>
    <row r="561" spans="1:13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K561" t="s">
        <v>1237</v>
      </c>
      <c r="L561" t="s">
        <v>15</v>
      </c>
      <c r="M561" t="str">
        <f t="shared" si="8"/>
        <v>Adult</v>
      </c>
    </row>
    <row r="562" spans="1:13">
      <c r="A562">
        <v>561</v>
      </c>
      <c r="B562">
        <v>0</v>
      </c>
      <c r="C562">
        <v>3</v>
      </c>
      <c r="D562" t="s">
        <v>802</v>
      </c>
      <c r="E562" t="s">
        <v>13</v>
      </c>
      <c r="F562">
        <v>28</v>
      </c>
      <c r="G562">
        <v>0</v>
      </c>
      <c r="H562">
        <v>0</v>
      </c>
      <c r="I562">
        <v>372622</v>
      </c>
      <c r="J562">
        <v>7.75</v>
      </c>
      <c r="K562" t="s">
        <v>1237</v>
      </c>
      <c r="L562" t="s">
        <v>27</v>
      </c>
      <c r="M562" t="str">
        <f t="shared" si="8"/>
        <v>Adult</v>
      </c>
    </row>
    <row r="563" spans="1:13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K563" t="s">
        <v>1237</v>
      </c>
      <c r="L563" t="s">
        <v>15</v>
      </c>
      <c r="M563" t="str">
        <f t="shared" si="8"/>
        <v>Middle Age</v>
      </c>
    </row>
    <row r="564" spans="1:13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K564" t="s">
        <v>1237</v>
      </c>
      <c r="L564" t="s">
        <v>15</v>
      </c>
      <c r="M564" t="str">
        <f t="shared" si="8"/>
        <v>Adult</v>
      </c>
    </row>
    <row r="565" spans="1:13">
      <c r="A565">
        <v>564</v>
      </c>
      <c r="B565">
        <v>0</v>
      </c>
      <c r="C565">
        <v>3</v>
      </c>
      <c r="D565" t="s">
        <v>805</v>
      </c>
      <c r="E565" t="s">
        <v>13</v>
      </c>
      <c r="F565">
        <v>28</v>
      </c>
      <c r="G565">
        <v>0</v>
      </c>
      <c r="H565">
        <v>0</v>
      </c>
      <c r="I565" t="s">
        <v>806</v>
      </c>
      <c r="J565">
        <v>8.0500000000000007</v>
      </c>
      <c r="K565" t="s">
        <v>1237</v>
      </c>
      <c r="L565" t="s">
        <v>15</v>
      </c>
      <c r="M565" t="str">
        <f t="shared" si="8"/>
        <v>Adult</v>
      </c>
    </row>
    <row r="566" spans="1:13">
      <c r="A566">
        <v>565</v>
      </c>
      <c r="B566">
        <v>0</v>
      </c>
      <c r="C566">
        <v>3</v>
      </c>
      <c r="D566" t="s">
        <v>807</v>
      </c>
      <c r="E566" t="s">
        <v>17</v>
      </c>
      <c r="F566">
        <v>28</v>
      </c>
      <c r="G566">
        <v>0</v>
      </c>
      <c r="H566">
        <v>0</v>
      </c>
      <c r="I566" t="s">
        <v>808</v>
      </c>
      <c r="J566">
        <v>8.0500000000000007</v>
      </c>
      <c r="K566" t="s">
        <v>1237</v>
      </c>
      <c r="L566" t="s">
        <v>15</v>
      </c>
      <c r="M566" t="str">
        <f t="shared" si="8"/>
        <v>Adult</v>
      </c>
    </row>
    <row r="567" spans="1:13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K567" t="s">
        <v>1237</v>
      </c>
      <c r="L567" t="s">
        <v>15</v>
      </c>
      <c r="M567" t="str">
        <f t="shared" si="8"/>
        <v>Adult</v>
      </c>
    </row>
    <row r="568" spans="1:13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K568" t="s">
        <v>1237</v>
      </c>
      <c r="L568" t="s">
        <v>15</v>
      </c>
      <c r="M568" t="str">
        <f t="shared" si="8"/>
        <v>Teenager</v>
      </c>
    </row>
    <row r="569" spans="1:13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K569" t="s">
        <v>1237</v>
      </c>
      <c r="L569" t="s">
        <v>15</v>
      </c>
      <c r="M569" t="str">
        <f t="shared" si="8"/>
        <v>Adult</v>
      </c>
    </row>
    <row r="570" spans="1:13">
      <c r="A570">
        <v>569</v>
      </c>
      <c r="B570">
        <v>0</v>
      </c>
      <c r="C570">
        <v>3</v>
      </c>
      <c r="D570" t="s">
        <v>813</v>
      </c>
      <c r="E570" t="s">
        <v>13</v>
      </c>
      <c r="F570">
        <v>28</v>
      </c>
      <c r="G570">
        <v>0</v>
      </c>
      <c r="H570">
        <v>0</v>
      </c>
      <c r="I570">
        <v>2686</v>
      </c>
      <c r="J570">
        <v>7.2291999999999996</v>
      </c>
      <c r="K570" t="s">
        <v>1237</v>
      </c>
      <c r="L570" t="s">
        <v>20</v>
      </c>
      <c r="M570" t="str">
        <f t="shared" si="8"/>
        <v>Adult</v>
      </c>
    </row>
    <row r="571" spans="1:13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K571" t="s">
        <v>1237</v>
      </c>
      <c r="L571" t="s">
        <v>15</v>
      </c>
      <c r="M571" t="str">
        <f t="shared" si="8"/>
        <v>Adult</v>
      </c>
    </row>
    <row r="572" spans="1:13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K572" t="s">
        <v>1237</v>
      </c>
      <c r="L572" t="s">
        <v>15</v>
      </c>
      <c r="M572" t="str">
        <f t="shared" si="8"/>
        <v>Senior</v>
      </c>
    </row>
    <row r="573" spans="1:13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  <c r="M573" t="str">
        <f t="shared" si="8"/>
        <v>Middle Age</v>
      </c>
    </row>
    <row r="574" spans="1:13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  <c r="M574" t="str">
        <f t="shared" si="8"/>
        <v>Adult</v>
      </c>
    </row>
    <row r="575" spans="1:13">
      <c r="A575">
        <v>574</v>
      </c>
      <c r="B575">
        <v>1</v>
      </c>
      <c r="C575">
        <v>3</v>
      </c>
      <c r="D575" t="s">
        <v>821</v>
      </c>
      <c r="E575" t="s">
        <v>17</v>
      </c>
      <c r="F575">
        <v>28</v>
      </c>
      <c r="G575">
        <v>0</v>
      </c>
      <c r="H575">
        <v>0</v>
      </c>
      <c r="I575">
        <v>14312</v>
      </c>
      <c r="J575">
        <v>7.75</v>
      </c>
      <c r="K575" t="s">
        <v>1237</v>
      </c>
      <c r="L575" t="s">
        <v>27</v>
      </c>
      <c r="M575" t="str">
        <f t="shared" si="8"/>
        <v>Adult</v>
      </c>
    </row>
    <row r="576" spans="1:13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K576" t="s">
        <v>1237</v>
      </c>
      <c r="L576" t="s">
        <v>15</v>
      </c>
      <c r="M576" t="str">
        <f t="shared" si="8"/>
        <v>Teenager</v>
      </c>
    </row>
    <row r="577" spans="1:13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K577" t="s">
        <v>1237</v>
      </c>
      <c r="L577" t="s">
        <v>15</v>
      </c>
      <c r="M577" t="str">
        <f t="shared" si="8"/>
        <v>Teenager</v>
      </c>
    </row>
    <row r="578" spans="1:13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K578" t="s">
        <v>1237</v>
      </c>
      <c r="L578" t="s">
        <v>15</v>
      </c>
      <c r="M578" t="str">
        <f t="shared" ref="M578:M641" si="9">IF(F578&lt;13,"Child",IF(F578&lt;20,"Teenager",IF(F578&lt;40,"Adult",IF(F578&lt;60,"Middle Age","Senior"))))</f>
        <v>Adult</v>
      </c>
    </row>
    <row r="579" spans="1:13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  <c r="M579" t="str">
        <f t="shared" si="9"/>
        <v>Adult</v>
      </c>
    </row>
    <row r="580" spans="1:13">
      <c r="A580">
        <v>579</v>
      </c>
      <c r="B580">
        <v>0</v>
      </c>
      <c r="C580">
        <v>3</v>
      </c>
      <c r="D580" t="s">
        <v>827</v>
      </c>
      <c r="E580" t="s">
        <v>17</v>
      </c>
      <c r="F580">
        <v>28</v>
      </c>
      <c r="G580">
        <v>1</v>
      </c>
      <c r="H580">
        <v>0</v>
      </c>
      <c r="I580">
        <v>2689</v>
      </c>
      <c r="J580">
        <v>14.458299999999999</v>
      </c>
      <c r="K580" t="s">
        <v>1237</v>
      </c>
      <c r="L580" t="s">
        <v>20</v>
      </c>
      <c r="M580" t="str">
        <f t="shared" si="9"/>
        <v>Adult</v>
      </c>
    </row>
    <row r="581" spans="1:13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K581" t="s">
        <v>1237</v>
      </c>
      <c r="L581" t="s">
        <v>15</v>
      </c>
      <c r="M581" t="str">
        <f t="shared" si="9"/>
        <v>Adult</v>
      </c>
    </row>
    <row r="582" spans="1:13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K582" t="s">
        <v>1237</v>
      </c>
      <c r="L582" t="s">
        <v>15</v>
      </c>
      <c r="M582" t="str">
        <f t="shared" si="9"/>
        <v>Adult</v>
      </c>
    </row>
    <row r="583" spans="1:13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  <c r="M583" t="str">
        <f t="shared" si="9"/>
        <v>Adult</v>
      </c>
    </row>
    <row r="584" spans="1:13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K584" t="s">
        <v>1237</v>
      </c>
      <c r="L584" t="s">
        <v>15</v>
      </c>
      <c r="M584" t="str">
        <f t="shared" si="9"/>
        <v>Middle Age</v>
      </c>
    </row>
    <row r="585" spans="1:13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  <c r="M585" t="str">
        <f t="shared" si="9"/>
        <v>Adult</v>
      </c>
    </row>
    <row r="586" spans="1:13">
      <c r="A586">
        <v>585</v>
      </c>
      <c r="B586">
        <v>0</v>
      </c>
      <c r="C586">
        <v>3</v>
      </c>
      <c r="D586" t="s">
        <v>836</v>
      </c>
      <c r="E586" t="s">
        <v>13</v>
      </c>
      <c r="F586">
        <v>28</v>
      </c>
      <c r="G586">
        <v>0</v>
      </c>
      <c r="H586">
        <v>0</v>
      </c>
      <c r="I586">
        <v>3411</v>
      </c>
      <c r="J586">
        <v>8.7125000000000004</v>
      </c>
      <c r="K586" t="s">
        <v>1237</v>
      </c>
      <c r="L586" t="s">
        <v>20</v>
      </c>
      <c r="M586" t="str">
        <f t="shared" si="9"/>
        <v>Adult</v>
      </c>
    </row>
    <row r="587" spans="1:13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  <c r="M587" t="str">
        <f t="shared" si="9"/>
        <v>Teenager</v>
      </c>
    </row>
    <row r="588" spans="1:13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K588" t="s">
        <v>1237</v>
      </c>
      <c r="L588" t="s">
        <v>15</v>
      </c>
      <c r="M588" t="str">
        <f t="shared" si="9"/>
        <v>Middle Age</v>
      </c>
    </row>
    <row r="589" spans="1:13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  <c r="M589" t="str">
        <f t="shared" si="9"/>
        <v>Senior</v>
      </c>
    </row>
    <row r="590" spans="1:13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K590" t="s">
        <v>1237</v>
      </c>
      <c r="L590" t="s">
        <v>15</v>
      </c>
      <c r="M590" t="str">
        <f t="shared" si="9"/>
        <v>Adult</v>
      </c>
    </row>
    <row r="591" spans="1:13">
      <c r="A591">
        <v>590</v>
      </c>
      <c r="B591">
        <v>0</v>
      </c>
      <c r="C591">
        <v>3</v>
      </c>
      <c r="D591" t="s">
        <v>843</v>
      </c>
      <c r="E591" t="s">
        <v>13</v>
      </c>
      <c r="F591">
        <v>28</v>
      </c>
      <c r="G591">
        <v>0</v>
      </c>
      <c r="H591">
        <v>0</v>
      </c>
      <c r="I591" t="s">
        <v>844</v>
      </c>
      <c r="J591">
        <v>8.0500000000000007</v>
      </c>
      <c r="K591" t="s">
        <v>1237</v>
      </c>
      <c r="L591" t="s">
        <v>15</v>
      </c>
      <c r="M591" t="str">
        <f t="shared" si="9"/>
        <v>Adult</v>
      </c>
    </row>
    <row r="592" spans="1:13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K592" t="s">
        <v>1237</v>
      </c>
      <c r="L592" t="s">
        <v>15</v>
      </c>
      <c r="M592" t="str">
        <f t="shared" si="9"/>
        <v>Adult</v>
      </c>
    </row>
    <row r="593" spans="1:13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  <c r="M593" t="str">
        <f t="shared" si="9"/>
        <v>Middle Age</v>
      </c>
    </row>
    <row r="594" spans="1:13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K594" t="s">
        <v>1237</v>
      </c>
      <c r="L594" t="s">
        <v>15</v>
      </c>
      <c r="M594" t="str">
        <f t="shared" si="9"/>
        <v>Middle Age</v>
      </c>
    </row>
    <row r="595" spans="1:13">
      <c r="A595">
        <v>594</v>
      </c>
      <c r="B595">
        <v>0</v>
      </c>
      <c r="C595">
        <v>3</v>
      </c>
      <c r="D595" t="s">
        <v>850</v>
      </c>
      <c r="E595" t="s">
        <v>17</v>
      </c>
      <c r="F595">
        <v>28</v>
      </c>
      <c r="G595">
        <v>0</v>
      </c>
      <c r="H595">
        <v>2</v>
      </c>
      <c r="I595">
        <v>364848</v>
      </c>
      <c r="J595">
        <v>7.75</v>
      </c>
      <c r="K595" t="s">
        <v>1237</v>
      </c>
      <c r="L595" t="s">
        <v>27</v>
      </c>
      <c r="M595" t="str">
        <f t="shared" si="9"/>
        <v>Adult</v>
      </c>
    </row>
    <row r="596" spans="1:13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K596" t="s">
        <v>1237</v>
      </c>
      <c r="L596" t="s">
        <v>15</v>
      </c>
      <c r="M596" t="str">
        <f t="shared" si="9"/>
        <v>Adult</v>
      </c>
    </row>
    <row r="597" spans="1:13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K597" t="s">
        <v>1237</v>
      </c>
      <c r="L597" t="s">
        <v>15</v>
      </c>
      <c r="M597" t="str">
        <f t="shared" si="9"/>
        <v>Adult</v>
      </c>
    </row>
    <row r="598" spans="1:13">
      <c r="A598">
        <v>597</v>
      </c>
      <c r="B598">
        <v>1</v>
      </c>
      <c r="C598">
        <v>2</v>
      </c>
      <c r="D598" t="s">
        <v>854</v>
      </c>
      <c r="E598" t="s">
        <v>17</v>
      </c>
      <c r="F598">
        <v>28</v>
      </c>
      <c r="G598">
        <v>0</v>
      </c>
      <c r="H598">
        <v>0</v>
      </c>
      <c r="I598">
        <v>248727</v>
      </c>
      <c r="J598">
        <v>33</v>
      </c>
      <c r="K598" t="s">
        <v>1237</v>
      </c>
      <c r="L598" t="s">
        <v>15</v>
      </c>
      <c r="M598" t="str">
        <f t="shared" si="9"/>
        <v>Adult</v>
      </c>
    </row>
    <row r="599" spans="1:13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K599" t="s">
        <v>1237</v>
      </c>
      <c r="L599" t="s">
        <v>15</v>
      </c>
      <c r="M599" t="str">
        <f t="shared" si="9"/>
        <v>Middle Age</v>
      </c>
    </row>
    <row r="600" spans="1:13">
      <c r="A600">
        <v>599</v>
      </c>
      <c r="B600">
        <v>0</v>
      </c>
      <c r="C600">
        <v>3</v>
      </c>
      <c r="D600" t="s">
        <v>856</v>
      </c>
      <c r="E600" t="s">
        <v>13</v>
      </c>
      <c r="F600">
        <v>28</v>
      </c>
      <c r="G600">
        <v>0</v>
      </c>
      <c r="H600">
        <v>0</v>
      </c>
      <c r="I600">
        <v>2664</v>
      </c>
      <c r="J600">
        <v>7.2249999999999996</v>
      </c>
      <c r="K600" t="s">
        <v>1237</v>
      </c>
      <c r="L600" t="s">
        <v>20</v>
      </c>
      <c r="M600" t="str">
        <f t="shared" si="9"/>
        <v>Adult</v>
      </c>
    </row>
    <row r="601" spans="1:13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  <c r="M601" t="str">
        <f t="shared" si="9"/>
        <v>Middle Age</v>
      </c>
    </row>
    <row r="602" spans="1:13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K602" t="s">
        <v>1237</v>
      </c>
      <c r="L602" t="s">
        <v>15</v>
      </c>
      <c r="M602" t="str">
        <f t="shared" si="9"/>
        <v>Adult</v>
      </c>
    </row>
    <row r="603" spans="1:13">
      <c r="A603">
        <v>602</v>
      </c>
      <c r="B603">
        <v>0</v>
      </c>
      <c r="C603">
        <v>3</v>
      </c>
      <c r="D603" t="s">
        <v>860</v>
      </c>
      <c r="E603" t="s">
        <v>13</v>
      </c>
      <c r="F603">
        <v>28</v>
      </c>
      <c r="G603">
        <v>0</v>
      </c>
      <c r="H603">
        <v>0</v>
      </c>
      <c r="I603">
        <v>349214</v>
      </c>
      <c r="J603">
        <v>7.8958000000000004</v>
      </c>
      <c r="K603" t="s">
        <v>1237</v>
      </c>
      <c r="L603" t="s">
        <v>15</v>
      </c>
      <c r="M603" t="str">
        <f t="shared" si="9"/>
        <v>Adult</v>
      </c>
    </row>
    <row r="604" spans="1:13">
      <c r="A604">
        <v>603</v>
      </c>
      <c r="B604">
        <v>0</v>
      </c>
      <c r="C604">
        <v>1</v>
      </c>
      <c r="D604" t="s">
        <v>861</v>
      </c>
      <c r="E604" t="s">
        <v>13</v>
      </c>
      <c r="F604">
        <v>28</v>
      </c>
      <c r="G604">
        <v>0</v>
      </c>
      <c r="H604">
        <v>0</v>
      </c>
      <c r="I604">
        <v>113796</v>
      </c>
      <c r="J604">
        <v>42.4</v>
      </c>
      <c r="K604" t="s">
        <v>1237</v>
      </c>
      <c r="L604" t="s">
        <v>15</v>
      </c>
      <c r="M604" t="str">
        <f t="shared" si="9"/>
        <v>Adult</v>
      </c>
    </row>
    <row r="605" spans="1:13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K605" t="s">
        <v>1237</v>
      </c>
      <c r="L605" t="s">
        <v>15</v>
      </c>
      <c r="M605" t="str">
        <f t="shared" si="9"/>
        <v>Middle Age</v>
      </c>
    </row>
    <row r="606" spans="1:13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K606" t="s">
        <v>1237</v>
      </c>
      <c r="L606" t="s">
        <v>20</v>
      </c>
      <c r="M606" t="str">
        <f t="shared" si="9"/>
        <v>Adult</v>
      </c>
    </row>
    <row r="607" spans="1:13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K607" t="s">
        <v>1237</v>
      </c>
      <c r="L607" t="s">
        <v>15</v>
      </c>
      <c r="M607" t="str">
        <f t="shared" si="9"/>
        <v>Adult</v>
      </c>
    </row>
    <row r="608" spans="1:13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K608" t="s">
        <v>1237</v>
      </c>
      <c r="L608" t="s">
        <v>15</v>
      </c>
      <c r="M608" t="str">
        <f t="shared" si="9"/>
        <v>Adult</v>
      </c>
    </row>
    <row r="609" spans="1:13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K609" t="s">
        <v>1237</v>
      </c>
      <c r="L609" t="s">
        <v>15</v>
      </c>
      <c r="M609" t="str">
        <f t="shared" si="9"/>
        <v>Adult</v>
      </c>
    </row>
    <row r="610" spans="1:13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K610" t="s">
        <v>1237</v>
      </c>
      <c r="L610" t="s">
        <v>20</v>
      </c>
      <c r="M610" t="str">
        <f t="shared" si="9"/>
        <v>Adult</v>
      </c>
    </row>
    <row r="611" spans="1:13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  <c r="M611" t="str">
        <f t="shared" si="9"/>
        <v>Middle Age</v>
      </c>
    </row>
    <row r="612" spans="1:13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K612" t="s">
        <v>1237</v>
      </c>
      <c r="L612" t="s">
        <v>15</v>
      </c>
      <c r="M612" t="str">
        <f t="shared" si="9"/>
        <v>Adult</v>
      </c>
    </row>
    <row r="613" spans="1:13">
      <c r="A613">
        <v>612</v>
      </c>
      <c r="B613">
        <v>0</v>
      </c>
      <c r="C613">
        <v>3</v>
      </c>
      <c r="D613" t="s">
        <v>870</v>
      </c>
      <c r="E613" t="s">
        <v>13</v>
      </c>
      <c r="F613">
        <v>28</v>
      </c>
      <c r="G613">
        <v>0</v>
      </c>
      <c r="H613">
        <v>0</v>
      </c>
      <c r="I613" t="s">
        <v>871</v>
      </c>
      <c r="J613">
        <v>7.05</v>
      </c>
      <c r="K613" t="s">
        <v>1237</v>
      </c>
      <c r="L613" t="s">
        <v>15</v>
      </c>
      <c r="M613" t="str">
        <f t="shared" si="9"/>
        <v>Adult</v>
      </c>
    </row>
    <row r="614" spans="1:13">
      <c r="A614">
        <v>613</v>
      </c>
      <c r="B614">
        <v>1</v>
      </c>
      <c r="C614">
        <v>3</v>
      </c>
      <c r="D614" t="s">
        <v>872</v>
      </c>
      <c r="E614" t="s">
        <v>17</v>
      </c>
      <c r="F614">
        <v>28</v>
      </c>
      <c r="G614">
        <v>1</v>
      </c>
      <c r="H614">
        <v>0</v>
      </c>
      <c r="I614">
        <v>367230</v>
      </c>
      <c r="J614">
        <v>15.5</v>
      </c>
      <c r="K614" t="s">
        <v>1237</v>
      </c>
      <c r="L614" t="s">
        <v>27</v>
      </c>
      <c r="M614" t="str">
        <f t="shared" si="9"/>
        <v>Adult</v>
      </c>
    </row>
    <row r="615" spans="1:13">
      <c r="A615">
        <v>614</v>
      </c>
      <c r="B615">
        <v>0</v>
      </c>
      <c r="C615">
        <v>3</v>
      </c>
      <c r="D615" t="s">
        <v>873</v>
      </c>
      <c r="E615" t="s">
        <v>13</v>
      </c>
      <c r="F615">
        <v>28</v>
      </c>
      <c r="G615">
        <v>0</v>
      </c>
      <c r="H615">
        <v>0</v>
      </c>
      <c r="I615">
        <v>370377</v>
      </c>
      <c r="J615">
        <v>7.75</v>
      </c>
      <c r="K615" t="s">
        <v>1237</v>
      </c>
      <c r="L615" t="s">
        <v>27</v>
      </c>
      <c r="M615" t="str">
        <f t="shared" si="9"/>
        <v>Adult</v>
      </c>
    </row>
    <row r="616" spans="1:13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K616" t="s">
        <v>1237</v>
      </c>
      <c r="L616" t="s">
        <v>15</v>
      </c>
      <c r="M616" t="str">
        <f t="shared" si="9"/>
        <v>Adult</v>
      </c>
    </row>
    <row r="617" spans="1:13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K617" t="s">
        <v>1237</v>
      </c>
      <c r="L617" t="s">
        <v>15</v>
      </c>
      <c r="M617" t="str">
        <f t="shared" si="9"/>
        <v>Adult</v>
      </c>
    </row>
    <row r="618" spans="1:13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K618" t="s">
        <v>1237</v>
      </c>
      <c r="L618" t="s">
        <v>15</v>
      </c>
      <c r="M618" t="str">
        <f t="shared" si="9"/>
        <v>Adult</v>
      </c>
    </row>
    <row r="619" spans="1:13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K619" t="s">
        <v>1237</v>
      </c>
      <c r="L619" t="s">
        <v>15</v>
      </c>
      <c r="M619" t="str">
        <f t="shared" si="9"/>
        <v>Adult</v>
      </c>
    </row>
    <row r="620" spans="1:13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  <c r="M620" t="str">
        <f t="shared" si="9"/>
        <v>Child</v>
      </c>
    </row>
    <row r="621" spans="1:13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K621" t="s">
        <v>1237</v>
      </c>
      <c r="L621" t="s">
        <v>15</v>
      </c>
      <c r="M621" t="str">
        <f t="shared" si="9"/>
        <v>Adult</v>
      </c>
    </row>
    <row r="622" spans="1:13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K622" t="s">
        <v>1237</v>
      </c>
      <c r="L622" t="s">
        <v>20</v>
      </c>
      <c r="M622" t="str">
        <f t="shared" si="9"/>
        <v>Adult</v>
      </c>
    </row>
    <row r="623" spans="1:13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  <c r="M623" t="str">
        <f t="shared" si="9"/>
        <v>Middle Age</v>
      </c>
    </row>
    <row r="624" spans="1:13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K624" t="s">
        <v>1237</v>
      </c>
      <c r="L624" t="s">
        <v>20</v>
      </c>
      <c r="M624" t="str">
        <f t="shared" si="9"/>
        <v>Adult</v>
      </c>
    </row>
    <row r="625" spans="1:13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K625" t="s">
        <v>1237</v>
      </c>
      <c r="L625" t="s">
        <v>15</v>
      </c>
      <c r="M625" t="str">
        <f t="shared" si="9"/>
        <v>Adult</v>
      </c>
    </row>
    <row r="626" spans="1:13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K626" t="s">
        <v>1237</v>
      </c>
      <c r="L626" t="s">
        <v>15</v>
      </c>
      <c r="M626" t="str">
        <f t="shared" si="9"/>
        <v>Adult</v>
      </c>
    </row>
    <row r="627" spans="1:13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  <c r="M627" t="str">
        <f t="shared" si="9"/>
        <v>Senior</v>
      </c>
    </row>
    <row r="628" spans="1:13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K628" t="s">
        <v>1237</v>
      </c>
      <c r="L628" t="s">
        <v>27</v>
      </c>
      <c r="M628" t="str">
        <f t="shared" si="9"/>
        <v>Middle Age</v>
      </c>
    </row>
    <row r="629" spans="1:13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  <c r="M629" t="str">
        <f t="shared" si="9"/>
        <v>Adult</v>
      </c>
    </row>
    <row r="630" spans="1:13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K630" t="s">
        <v>1237</v>
      </c>
      <c r="L630" t="s">
        <v>15</v>
      </c>
      <c r="M630" t="str">
        <f t="shared" si="9"/>
        <v>Adult</v>
      </c>
    </row>
    <row r="631" spans="1:13">
      <c r="A631">
        <v>630</v>
      </c>
      <c r="B631">
        <v>0</v>
      </c>
      <c r="C631">
        <v>3</v>
      </c>
      <c r="D631" t="s">
        <v>892</v>
      </c>
      <c r="E631" t="s">
        <v>13</v>
      </c>
      <c r="F631">
        <v>28</v>
      </c>
      <c r="G631">
        <v>0</v>
      </c>
      <c r="H631">
        <v>0</v>
      </c>
      <c r="I631">
        <v>334912</v>
      </c>
      <c r="J631">
        <v>7.7332999999999998</v>
      </c>
      <c r="K631" t="s">
        <v>1237</v>
      </c>
      <c r="L631" t="s">
        <v>27</v>
      </c>
      <c r="M631" t="str">
        <f t="shared" si="9"/>
        <v>Adult</v>
      </c>
    </row>
    <row r="632" spans="1:13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  <c r="M632" t="str">
        <f t="shared" si="9"/>
        <v>Senior</v>
      </c>
    </row>
    <row r="633" spans="1:13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K633" t="s">
        <v>1237</v>
      </c>
      <c r="L633" t="s">
        <v>15</v>
      </c>
      <c r="M633" t="str">
        <f t="shared" si="9"/>
        <v>Middle Age</v>
      </c>
    </row>
    <row r="634" spans="1:13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  <c r="M634" t="str">
        <f t="shared" si="9"/>
        <v>Adult</v>
      </c>
    </row>
    <row r="635" spans="1:13">
      <c r="A635">
        <v>634</v>
      </c>
      <c r="B635">
        <v>0</v>
      </c>
      <c r="C635">
        <v>1</v>
      </c>
      <c r="D635" t="s">
        <v>898</v>
      </c>
      <c r="E635" t="s">
        <v>13</v>
      </c>
      <c r="F635">
        <v>28</v>
      </c>
      <c r="G635">
        <v>0</v>
      </c>
      <c r="H635">
        <v>0</v>
      </c>
      <c r="I635">
        <v>112052</v>
      </c>
      <c r="J635">
        <v>0</v>
      </c>
      <c r="K635" t="s">
        <v>1237</v>
      </c>
      <c r="L635" t="s">
        <v>15</v>
      </c>
      <c r="M635" t="str">
        <f t="shared" si="9"/>
        <v>Adult</v>
      </c>
    </row>
    <row r="636" spans="1:13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K636" t="s">
        <v>1237</v>
      </c>
      <c r="L636" t="s">
        <v>15</v>
      </c>
      <c r="M636" t="str">
        <f t="shared" si="9"/>
        <v>Child</v>
      </c>
    </row>
    <row r="637" spans="1:13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K637" t="s">
        <v>1237</v>
      </c>
      <c r="L637" t="s">
        <v>15</v>
      </c>
      <c r="M637" t="str">
        <f t="shared" si="9"/>
        <v>Adult</v>
      </c>
    </row>
    <row r="638" spans="1:13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K638" t="s">
        <v>1237</v>
      </c>
      <c r="L638" t="s">
        <v>15</v>
      </c>
      <c r="M638" t="str">
        <f t="shared" si="9"/>
        <v>Adult</v>
      </c>
    </row>
    <row r="639" spans="1:13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K639" t="s">
        <v>1237</v>
      </c>
      <c r="L639" t="s">
        <v>15</v>
      </c>
      <c r="M639" t="str">
        <f t="shared" si="9"/>
        <v>Adult</v>
      </c>
    </row>
    <row r="640" spans="1:13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K640" t="s">
        <v>1237</v>
      </c>
      <c r="L640" t="s">
        <v>15</v>
      </c>
      <c r="M640" t="str">
        <f t="shared" si="9"/>
        <v>Middle Age</v>
      </c>
    </row>
    <row r="641" spans="1:13">
      <c r="A641">
        <v>640</v>
      </c>
      <c r="B641">
        <v>0</v>
      </c>
      <c r="C641">
        <v>3</v>
      </c>
      <c r="D641" t="s">
        <v>905</v>
      </c>
      <c r="E641" t="s">
        <v>13</v>
      </c>
      <c r="F641">
        <v>28</v>
      </c>
      <c r="G641">
        <v>1</v>
      </c>
      <c r="H641">
        <v>0</v>
      </c>
      <c r="I641">
        <v>376564</v>
      </c>
      <c r="J641">
        <v>16.100000000000001</v>
      </c>
      <c r="K641" t="s">
        <v>1237</v>
      </c>
      <c r="L641" t="s">
        <v>15</v>
      </c>
      <c r="M641" t="str">
        <f t="shared" si="9"/>
        <v>Adult</v>
      </c>
    </row>
    <row r="642" spans="1:13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K642" t="s">
        <v>1237</v>
      </c>
      <c r="L642" t="s">
        <v>15</v>
      </c>
      <c r="M642" t="str">
        <f t="shared" ref="M642:M705" si="10">IF(F642&lt;13,"Child",IF(F642&lt;20,"Teenager",IF(F642&lt;40,"Adult",IF(F642&lt;60,"Middle Age","Senior"))))</f>
        <v>Adult</v>
      </c>
    </row>
    <row r="643" spans="1:13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  <c r="M643" t="str">
        <f t="shared" si="10"/>
        <v>Adult</v>
      </c>
    </row>
    <row r="644" spans="1:13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K644" t="s">
        <v>1237</v>
      </c>
      <c r="L644" t="s">
        <v>15</v>
      </c>
      <c r="M644" t="str">
        <f t="shared" si="10"/>
        <v>Child</v>
      </c>
    </row>
    <row r="645" spans="1:13">
      <c r="A645">
        <v>644</v>
      </c>
      <c r="B645">
        <v>1</v>
      </c>
      <c r="C645">
        <v>3</v>
      </c>
      <c r="D645" t="s">
        <v>909</v>
      </c>
      <c r="E645" t="s">
        <v>13</v>
      </c>
      <c r="F645">
        <v>28</v>
      </c>
      <c r="G645">
        <v>0</v>
      </c>
      <c r="H645">
        <v>0</v>
      </c>
      <c r="I645">
        <v>1601</v>
      </c>
      <c r="J645">
        <v>56.495800000000003</v>
      </c>
      <c r="K645" t="s">
        <v>1237</v>
      </c>
      <c r="L645" t="s">
        <v>15</v>
      </c>
      <c r="M645" t="str">
        <f t="shared" si="10"/>
        <v>Adult</v>
      </c>
    </row>
    <row r="646" spans="1:13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K646" t="s">
        <v>1237</v>
      </c>
      <c r="L646" t="s">
        <v>20</v>
      </c>
      <c r="M646" t="str">
        <f t="shared" si="10"/>
        <v>Child</v>
      </c>
    </row>
    <row r="647" spans="1:13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  <c r="M647" t="str">
        <f t="shared" si="10"/>
        <v>Middle Age</v>
      </c>
    </row>
    <row r="648" spans="1:13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K648" t="s">
        <v>1237</v>
      </c>
      <c r="L648" t="s">
        <v>15</v>
      </c>
      <c r="M648" t="str">
        <f t="shared" si="10"/>
        <v>Teenager</v>
      </c>
    </row>
    <row r="649" spans="1:13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  <c r="M649" t="str">
        <f t="shared" si="10"/>
        <v>Middle Age</v>
      </c>
    </row>
    <row r="650" spans="1:13">
      <c r="A650">
        <v>649</v>
      </c>
      <c r="B650">
        <v>0</v>
      </c>
      <c r="C650">
        <v>3</v>
      </c>
      <c r="D650" t="s">
        <v>915</v>
      </c>
      <c r="E650" t="s">
        <v>13</v>
      </c>
      <c r="F650">
        <v>28</v>
      </c>
      <c r="G650">
        <v>0</v>
      </c>
      <c r="H650">
        <v>0</v>
      </c>
      <c r="I650" t="s">
        <v>916</v>
      </c>
      <c r="J650">
        <v>7.55</v>
      </c>
      <c r="K650" t="s">
        <v>1237</v>
      </c>
      <c r="L650" t="s">
        <v>15</v>
      </c>
      <c r="M650" t="str">
        <f t="shared" si="10"/>
        <v>Adult</v>
      </c>
    </row>
    <row r="651" spans="1:13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K651" t="s">
        <v>1237</v>
      </c>
      <c r="L651" t="s">
        <v>15</v>
      </c>
      <c r="M651" t="str">
        <f t="shared" si="10"/>
        <v>Adult</v>
      </c>
    </row>
    <row r="652" spans="1:13">
      <c r="A652">
        <v>651</v>
      </c>
      <c r="B652">
        <v>0</v>
      </c>
      <c r="C652">
        <v>3</v>
      </c>
      <c r="D652" t="s">
        <v>919</v>
      </c>
      <c r="E652" t="s">
        <v>13</v>
      </c>
      <c r="F652">
        <v>28</v>
      </c>
      <c r="G652">
        <v>0</v>
      </c>
      <c r="H652">
        <v>0</v>
      </c>
      <c r="I652">
        <v>349221</v>
      </c>
      <c r="J652">
        <v>7.8958000000000004</v>
      </c>
      <c r="K652" t="s">
        <v>1237</v>
      </c>
      <c r="L652" t="s">
        <v>15</v>
      </c>
      <c r="M652" t="str">
        <f t="shared" si="10"/>
        <v>Adult</v>
      </c>
    </row>
    <row r="653" spans="1:13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K653" t="s">
        <v>1237</v>
      </c>
      <c r="L653" t="s">
        <v>15</v>
      </c>
      <c r="M653" t="str">
        <f t="shared" si="10"/>
        <v>Teenager</v>
      </c>
    </row>
    <row r="654" spans="1:13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K654" t="s">
        <v>1237</v>
      </c>
      <c r="L654" t="s">
        <v>15</v>
      </c>
      <c r="M654" t="str">
        <f t="shared" si="10"/>
        <v>Adult</v>
      </c>
    </row>
    <row r="655" spans="1:13">
      <c r="A655">
        <v>654</v>
      </c>
      <c r="B655">
        <v>1</v>
      </c>
      <c r="C655">
        <v>3</v>
      </c>
      <c r="D655" t="s">
        <v>922</v>
      </c>
      <c r="E655" t="s">
        <v>17</v>
      </c>
      <c r="F655">
        <v>28</v>
      </c>
      <c r="G655">
        <v>0</v>
      </c>
      <c r="H655">
        <v>0</v>
      </c>
      <c r="I655">
        <v>330919</v>
      </c>
      <c r="J655">
        <v>7.8292000000000002</v>
      </c>
      <c r="K655" t="s">
        <v>1237</v>
      </c>
      <c r="L655" t="s">
        <v>27</v>
      </c>
      <c r="M655" t="str">
        <f t="shared" si="10"/>
        <v>Adult</v>
      </c>
    </row>
    <row r="656" spans="1:13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K656" t="s">
        <v>1237</v>
      </c>
      <c r="L656" t="s">
        <v>27</v>
      </c>
      <c r="M656" t="str">
        <f t="shared" si="10"/>
        <v>Teenager</v>
      </c>
    </row>
    <row r="657" spans="1:13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K657" t="s">
        <v>1237</v>
      </c>
      <c r="L657" t="s">
        <v>15</v>
      </c>
      <c r="M657" t="str">
        <f t="shared" si="10"/>
        <v>Adult</v>
      </c>
    </row>
    <row r="658" spans="1:13">
      <c r="A658">
        <v>657</v>
      </c>
      <c r="B658">
        <v>0</v>
      </c>
      <c r="C658">
        <v>3</v>
      </c>
      <c r="D658" t="s">
        <v>925</v>
      </c>
      <c r="E658" t="s">
        <v>13</v>
      </c>
      <c r="F658">
        <v>28</v>
      </c>
      <c r="G658">
        <v>0</v>
      </c>
      <c r="H658">
        <v>0</v>
      </c>
      <c r="I658">
        <v>349223</v>
      </c>
      <c r="J658">
        <v>7.8958000000000004</v>
      </c>
      <c r="K658" t="s">
        <v>1237</v>
      </c>
      <c r="L658" t="s">
        <v>15</v>
      </c>
      <c r="M658" t="str">
        <f t="shared" si="10"/>
        <v>Adult</v>
      </c>
    </row>
    <row r="659" spans="1:13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K659" t="s">
        <v>1237</v>
      </c>
      <c r="L659" t="s">
        <v>27</v>
      </c>
      <c r="M659" t="str">
        <f t="shared" si="10"/>
        <v>Adult</v>
      </c>
    </row>
    <row r="660" spans="1:13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K660" t="s">
        <v>1237</v>
      </c>
      <c r="L660" t="s">
        <v>15</v>
      </c>
      <c r="M660" t="str">
        <f t="shared" si="10"/>
        <v>Adult</v>
      </c>
    </row>
    <row r="661" spans="1:13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  <c r="M661" t="str">
        <f t="shared" si="10"/>
        <v>Middle Age</v>
      </c>
    </row>
    <row r="662" spans="1:13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K662" t="s">
        <v>1237</v>
      </c>
      <c r="L662" t="s">
        <v>15</v>
      </c>
      <c r="M662" t="str">
        <f t="shared" si="10"/>
        <v>Middle Age</v>
      </c>
    </row>
    <row r="663" spans="1:13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K663" t="s">
        <v>1237</v>
      </c>
      <c r="L663" t="s">
        <v>20</v>
      </c>
      <c r="M663" t="str">
        <f t="shared" si="10"/>
        <v>Middle Age</v>
      </c>
    </row>
    <row r="664" spans="1:13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  <c r="M664" t="str">
        <f t="shared" si="10"/>
        <v>Middle Age</v>
      </c>
    </row>
    <row r="665" spans="1:13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K665" t="s">
        <v>1237</v>
      </c>
      <c r="L665" t="s">
        <v>15</v>
      </c>
      <c r="M665" t="str">
        <f t="shared" si="10"/>
        <v>Adult</v>
      </c>
    </row>
    <row r="666" spans="1:13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K666" t="s">
        <v>1237</v>
      </c>
      <c r="L666" t="s">
        <v>15</v>
      </c>
      <c r="M666" t="str">
        <f t="shared" si="10"/>
        <v>Adult</v>
      </c>
    </row>
    <row r="667" spans="1:13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K667" t="s">
        <v>1237</v>
      </c>
      <c r="L667" t="s">
        <v>15</v>
      </c>
      <c r="M667" t="str">
        <f t="shared" si="10"/>
        <v>Adult</v>
      </c>
    </row>
    <row r="668" spans="1:13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K668" t="s">
        <v>1237</v>
      </c>
      <c r="L668" t="s">
        <v>15</v>
      </c>
      <c r="M668" t="str">
        <f t="shared" si="10"/>
        <v>Adult</v>
      </c>
    </row>
    <row r="669" spans="1:13">
      <c r="A669">
        <v>668</v>
      </c>
      <c r="B669">
        <v>0</v>
      </c>
      <c r="C669">
        <v>3</v>
      </c>
      <c r="D669" t="s">
        <v>939</v>
      </c>
      <c r="E669" t="s">
        <v>13</v>
      </c>
      <c r="F669">
        <v>28</v>
      </c>
      <c r="G669">
        <v>0</v>
      </c>
      <c r="H669">
        <v>0</v>
      </c>
      <c r="I669">
        <v>312993</v>
      </c>
      <c r="J669">
        <v>7.7750000000000004</v>
      </c>
      <c r="K669" t="s">
        <v>1237</v>
      </c>
      <c r="L669" t="s">
        <v>15</v>
      </c>
      <c r="M669" t="str">
        <f t="shared" si="10"/>
        <v>Adult</v>
      </c>
    </row>
    <row r="670" spans="1:13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K670" t="s">
        <v>1237</v>
      </c>
      <c r="L670" t="s">
        <v>15</v>
      </c>
      <c r="M670" t="str">
        <f t="shared" si="10"/>
        <v>Middle Age</v>
      </c>
    </row>
    <row r="671" spans="1:13">
      <c r="A671">
        <v>670</v>
      </c>
      <c r="B671">
        <v>1</v>
      </c>
      <c r="C671">
        <v>1</v>
      </c>
      <c r="D671" t="s">
        <v>942</v>
      </c>
      <c r="E671" t="s">
        <v>17</v>
      </c>
      <c r="F671">
        <v>28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  <c r="M671" t="str">
        <f t="shared" si="10"/>
        <v>Adult</v>
      </c>
    </row>
    <row r="672" spans="1:13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K672" t="s">
        <v>1237</v>
      </c>
      <c r="L672" t="s">
        <v>15</v>
      </c>
      <c r="M672" t="str">
        <f t="shared" si="10"/>
        <v>Middle Age</v>
      </c>
    </row>
    <row r="673" spans="1:13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  <c r="M673" t="str">
        <f t="shared" si="10"/>
        <v>Adult</v>
      </c>
    </row>
    <row r="674" spans="1:13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K674" t="s">
        <v>1237</v>
      </c>
      <c r="L674" t="s">
        <v>15</v>
      </c>
      <c r="M674" t="str">
        <f t="shared" si="10"/>
        <v>Senior</v>
      </c>
    </row>
    <row r="675" spans="1:13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K675" t="s">
        <v>1237</v>
      </c>
      <c r="L675" t="s">
        <v>15</v>
      </c>
      <c r="M675" t="str">
        <f t="shared" si="10"/>
        <v>Adult</v>
      </c>
    </row>
    <row r="676" spans="1:13">
      <c r="A676">
        <v>675</v>
      </c>
      <c r="B676">
        <v>0</v>
      </c>
      <c r="C676">
        <v>2</v>
      </c>
      <c r="D676" t="s">
        <v>951</v>
      </c>
      <c r="E676" t="s">
        <v>13</v>
      </c>
      <c r="F676">
        <v>28</v>
      </c>
      <c r="G676">
        <v>0</v>
      </c>
      <c r="H676">
        <v>0</v>
      </c>
      <c r="I676">
        <v>239856</v>
      </c>
      <c r="J676">
        <v>0</v>
      </c>
      <c r="K676" t="s">
        <v>1237</v>
      </c>
      <c r="L676" t="s">
        <v>15</v>
      </c>
      <c r="M676" t="str">
        <f t="shared" si="10"/>
        <v>Adult</v>
      </c>
    </row>
    <row r="677" spans="1:13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K677" t="s">
        <v>1237</v>
      </c>
      <c r="L677" t="s">
        <v>15</v>
      </c>
      <c r="M677" t="str">
        <f t="shared" si="10"/>
        <v>Teenager</v>
      </c>
    </row>
    <row r="678" spans="1:13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K678" t="s">
        <v>1237</v>
      </c>
      <c r="L678" t="s">
        <v>15</v>
      </c>
      <c r="M678" t="str">
        <f t="shared" si="10"/>
        <v>Adult</v>
      </c>
    </row>
    <row r="679" spans="1:13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K679" t="s">
        <v>1237</v>
      </c>
      <c r="L679" t="s">
        <v>15</v>
      </c>
      <c r="M679" t="str">
        <f t="shared" si="10"/>
        <v>Teenager</v>
      </c>
    </row>
    <row r="680" spans="1:13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K680" t="s">
        <v>1237</v>
      </c>
      <c r="L680" t="s">
        <v>15</v>
      </c>
      <c r="M680" t="str">
        <f t="shared" si="10"/>
        <v>Middle Age</v>
      </c>
    </row>
    <row r="681" spans="1:13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  <c r="M681" t="str">
        <f t="shared" si="10"/>
        <v>Adult</v>
      </c>
    </row>
    <row r="682" spans="1:13">
      <c r="A682">
        <v>681</v>
      </c>
      <c r="B682">
        <v>0</v>
      </c>
      <c r="C682">
        <v>3</v>
      </c>
      <c r="D682" t="s">
        <v>958</v>
      </c>
      <c r="E682" t="s">
        <v>17</v>
      </c>
      <c r="F682">
        <v>28</v>
      </c>
      <c r="G682">
        <v>0</v>
      </c>
      <c r="H682">
        <v>0</v>
      </c>
      <c r="I682">
        <v>330935</v>
      </c>
      <c r="J682">
        <v>8.1374999999999993</v>
      </c>
      <c r="K682" t="s">
        <v>1237</v>
      </c>
      <c r="L682" t="s">
        <v>27</v>
      </c>
      <c r="M682" t="str">
        <f t="shared" si="10"/>
        <v>Adult</v>
      </c>
    </row>
    <row r="683" spans="1:13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  <c r="M683" t="str">
        <f t="shared" si="10"/>
        <v>Adult</v>
      </c>
    </row>
    <row r="684" spans="1:13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K684" t="s">
        <v>1237</v>
      </c>
      <c r="L684" t="s">
        <v>15</v>
      </c>
      <c r="M684" t="str">
        <f t="shared" si="10"/>
        <v>Adult</v>
      </c>
    </row>
    <row r="685" spans="1:13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K685" t="s">
        <v>1237</v>
      </c>
      <c r="L685" t="s">
        <v>15</v>
      </c>
      <c r="M685" t="str">
        <f t="shared" si="10"/>
        <v>Teenager</v>
      </c>
    </row>
    <row r="686" spans="1:13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K686" t="s">
        <v>1237</v>
      </c>
      <c r="L686" t="s">
        <v>15</v>
      </c>
      <c r="M686" t="str">
        <f t="shared" si="10"/>
        <v>Senior</v>
      </c>
    </row>
    <row r="687" spans="1:13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K687" t="s">
        <v>1237</v>
      </c>
      <c r="L687" t="s">
        <v>20</v>
      </c>
      <c r="M687" t="str">
        <f t="shared" si="10"/>
        <v>Adult</v>
      </c>
    </row>
    <row r="688" spans="1:13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K688" t="s">
        <v>1237</v>
      </c>
      <c r="L688" t="s">
        <v>15</v>
      </c>
      <c r="M688" t="str">
        <f t="shared" si="10"/>
        <v>Teenager</v>
      </c>
    </row>
    <row r="689" spans="1:13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K689" t="s">
        <v>1237</v>
      </c>
      <c r="L689" t="s">
        <v>15</v>
      </c>
      <c r="M689" t="str">
        <f t="shared" si="10"/>
        <v>Teenager</v>
      </c>
    </row>
    <row r="690" spans="1:13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K690" t="s">
        <v>1237</v>
      </c>
      <c r="L690" t="s">
        <v>15</v>
      </c>
      <c r="M690" t="str">
        <f t="shared" si="10"/>
        <v>Teenager</v>
      </c>
    </row>
    <row r="691" spans="1:13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  <c r="M691" t="str">
        <f t="shared" si="10"/>
        <v>Teenager</v>
      </c>
    </row>
    <row r="692" spans="1:13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  <c r="M692" t="str">
        <f t="shared" si="10"/>
        <v>Adult</v>
      </c>
    </row>
    <row r="693" spans="1:13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K693" t="s">
        <v>1237</v>
      </c>
      <c r="L693" t="s">
        <v>20</v>
      </c>
      <c r="M693" t="str">
        <f t="shared" si="10"/>
        <v>Child</v>
      </c>
    </row>
    <row r="694" spans="1:13">
      <c r="A694">
        <v>693</v>
      </c>
      <c r="B694">
        <v>1</v>
      </c>
      <c r="C694">
        <v>3</v>
      </c>
      <c r="D694" t="s">
        <v>973</v>
      </c>
      <c r="E694" t="s">
        <v>13</v>
      </c>
      <c r="F694">
        <v>28</v>
      </c>
      <c r="G694">
        <v>0</v>
      </c>
      <c r="H694">
        <v>0</v>
      </c>
      <c r="I694">
        <v>1601</v>
      </c>
      <c r="J694">
        <v>56.495800000000003</v>
      </c>
      <c r="K694" t="s">
        <v>1237</v>
      </c>
      <c r="L694" t="s">
        <v>15</v>
      </c>
      <c r="M694" t="str">
        <f t="shared" si="10"/>
        <v>Adult</v>
      </c>
    </row>
    <row r="695" spans="1:13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K695" t="s">
        <v>1237</v>
      </c>
      <c r="L695" t="s">
        <v>20</v>
      </c>
      <c r="M695" t="str">
        <f t="shared" si="10"/>
        <v>Adult</v>
      </c>
    </row>
    <row r="696" spans="1:13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K696" t="s">
        <v>1237</v>
      </c>
      <c r="L696" t="s">
        <v>15</v>
      </c>
      <c r="M696" t="str">
        <f t="shared" si="10"/>
        <v>Senior</v>
      </c>
    </row>
    <row r="697" spans="1:13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K697" t="s">
        <v>1237</v>
      </c>
      <c r="L697" t="s">
        <v>15</v>
      </c>
      <c r="M697" t="str">
        <f t="shared" si="10"/>
        <v>Middle Age</v>
      </c>
    </row>
    <row r="698" spans="1:13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K698" t="s">
        <v>1237</v>
      </c>
      <c r="L698" t="s">
        <v>15</v>
      </c>
      <c r="M698" t="str">
        <f t="shared" si="10"/>
        <v>Middle Age</v>
      </c>
    </row>
    <row r="699" spans="1:13">
      <c r="A699">
        <v>698</v>
      </c>
      <c r="B699">
        <v>1</v>
      </c>
      <c r="C699">
        <v>3</v>
      </c>
      <c r="D699" t="s">
        <v>978</v>
      </c>
      <c r="E699" t="s">
        <v>17</v>
      </c>
      <c r="F699">
        <v>28</v>
      </c>
      <c r="G699">
        <v>0</v>
      </c>
      <c r="H699">
        <v>0</v>
      </c>
      <c r="I699">
        <v>35852</v>
      </c>
      <c r="J699">
        <v>7.7332999999999998</v>
      </c>
      <c r="K699" t="s">
        <v>1237</v>
      </c>
      <c r="L699" t="s">
        <v>27</v>
      </c>
      <c r="M699" t="str">
        <f t="shared" si="10"/>
        <v>Adult</v>
      </c>
    </row>
    <row r="700" spans="1:13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  <c r="M700" t="str">
        <f t="shared" si="10"/>
        <v>Middle Age</v>
      </c>
    </row>
    <row r="701" spans="1:13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  <c r="M701" t="str">
        <f t="shared" si="10"/>
        <v>Middle Age</v>
      </c>
    </row>
    <row r="702" spans="1:13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  <c r="M702" t="str">
        <f t="shared" si="10"/>
        <v>Teenager</v>
      </c>
    </row>
    <row r="703" spans="1:13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  <c r="M703" t="str">
        <f t="shared" si="10"/>
        <v>Adult</v>
      </c>
    </row>
    <row r="704" spans="1:13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K704" t="s">
        <v>1237</v>
      </c>
      <c r="L704" t="s">
        <v>20</v>
      </c>
      <c r="M704" t="str">
        <f t="shared" si="10"/>
        <v>Teenager</v>
      </c>
    </row>
    <row r="705" spans="1:13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K705" t="s">
        <v>1237</v>
      </c>
      <c r="L705" t="s">
        <v>27</v>
      </c>
      <c r="M705" t="str">
        <f t="shared" si="10"/>
        <v>Adult</v>
      </c>
    </row>
    <row r="706" spans="1:13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K706" t="s">
        <v>1237</v>
      </c>
      <c r="L706" t="s">
        <v>15</v>
      </c>
      <c r="M706" t="str">
        <f t="shared" ref="M706:M769" si="11">IF(F706&lt;13,"Child",IF(F706&lt;20,"Teenager",IF(F706&lt;40,"Adult",IF(F706&lt;60,"Middle Age","Senior"))))</f>
        <v>Adult</v>
      </c>
    </row>
    <row r="707" spans="1:13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K707" t="s">
        <v>1237</v>
      </c>
      <c r="L707" t="s">
        <v>15</v>
      </c>
      <c r="M707" t="str">
        <f t="shared" si="11"/>
        <v>Adult</v>
      </c>
    </row>
    <row r="708" spans="1:13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K708" t="s">
        <v>1237</v>
      </c>
      <c r="L708" t="s">
        <v>15</v>
      </c>
      <c r="M708" t="str">
        <f t="shared" si="11"/>
        <v>Middle Age</v>
      </c>
    </row>
    <row r="709" spans="1:13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  <c r="M709" t="str">
        <f t="shared" si="11"/>
        <v>Middle Age</v>
      </c>
    </row>
    <row r="710" spans="1:13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K710" t="s">
        <v>1237</v>
      </c>
      <c r="L710" t="s">
        <v>15</v>
      </c>
      <c r="M710" t="str">
        <f t="shared" si="11"/>
        <v>Adult</v>
      </c>
    </row>
    <row r="711" spans="1:13">
      <c r="A711">
        <v>710</v>
      </c>
      <c r="B711">
        <v>1</v>
      </c>
      <c r="C711">
        <v>3</v>
      </c>
      <c r="D711" t="s">
        <v>995</v>
      </c>
      <c r="E711" t="s">
        <v>13</v>
      </c>
      <c r="F711">
        <v>28</v>
      </c>
      <c r="G711">
        <v>1</v>
      </c>
      <c r="H711">
        <v>1</v>
      </c>
      <c r="I711">
        <v>2661</v>
      </c>
      <c r="J711">
        <v>15.245799999999999</v>
      </c>
      <c r="K711" t="s">
        <v>1237</v>
      </c>
      <c r="L711" t="s">
        <v>20</v>
      </c>
      <c r="M711" t="str">
        <f t="shared" si="11"/>
        <v>Adult</v>
      </c>
    </row>
    <row r="712" spans="1:13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  <c r="M712" t="str">
        <f t="shared" si="11"/>
        <v>Adult</v>
      </c>
    </row>
    <row r="713" spans="1:13">
      <c r="A713">
        <v>712</v>
      </c>
      <c r="B713">
        <v>0</v>
      </c>
      <c r="C713">
        <v>1</v>
      </c>
      <c r="D713" t="s">
        <v>999</v>
      </c>
      <c r="E713" t="s">
        <v>13</v>
      </c>
      <c r="F713">
        <v>28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  <c r="M713" t="str">
        <f t="shared" si="11"/>
        <v>Adult</v>
      </c>
    </row>
    <row r="714" spans="1:13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  <c r="M714" t="str">
        <f t="shared" si="11"/>
        <v>Middle Age</v>
      </c>
    </row>
    <row r="715" spans="1:13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K715" t="s">
        <v>1237</v>
      </c>
      <c r="L715" t="s">
        <v>15</v>
      </c>
      <c r="M715" t="str">
        <f t="shared" si="11"/>
        <v>Adult</v>
      </c>
    </row>
    <row r="716" spans="1:13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K716" t="s">
        <v>1237</v>
      </c>
      <c r="L716" t="s">
        <v>15</v>
      </c>
      <c r="M716" t="str">
        <f t="shared" si="11"/>
        <v>Middle Age</v>
      </c>
    </row>
    <row r="717" spans="1:13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  <c r="M717" t="str">
        <f t="shared" si="11"/>
        <v>Teenager</v>
      </c>
    </row>
    <row r="718" spans="1:13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  <c r="M718" t="str">
        <f t="shared" si="11"/>
        <v>Adult</v>
      </c>
    </row>
    <row r="719" spans="1:13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  <c r="M719" t="str">
        <f t="shared" si="11"/>
        <v>Adult</v>
      </c>
    </row>
    <row r="720" spans="1:13">
      <c r="A720">
        <v>719</v>
      </c>
      <c r="B720">
        <v>0</v>
      </c>
      <c r="C720">
        <v>3</v>
      </c>
      <c r="D720" t="s">
        <v>1007</v>
      </c>
      <c r="E720" t="s">
        <v>13</v>
      </c>
      <c r="F720">
        <v>28</v>
      </c>
      <c r="G720">
        <v>0</v>
      </c>
      <c r="H720">
        <v>0</v>
      </c>
      <c r="I720">
        <v>36568</v>
      </c>
      <c r="J720">
        <v>15.5</v>
      </c>
      <c r="K720" t="s">
        <v>1237</v>
      </c>
      <c r="L720" t="s">
        <v>27</v>
      </c>
      <c r="M720" t="str">
        <f t="shared" si="11"/>
        <v>Adult</v>
      </c>
    </row>
    <row r="721" spans="1:13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K721" t="s">
        <v>1237</v>
      </c>
      <c r="L721" t="s">
        <v>15</v>
      </c>
      <c r="M721" t="str">
        <f t="shared" si="11"/>
        <v>Adult</v>
      </c>
    </row>
    <row r="722" spans="1:13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K722" t="s">
        <v>1237</v>
      </c>
      <c r="L722" t="s">
        <v>15</v>
      </c>
      <c r="M722" t="str">
        <f t="shared" si="11"/>
        <v>Child</v>
      </c>
    </row>
    <row r="723" spans="1:13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K723" t="s">
        <v>1237</v>
      </c>
      <c r="L723" t="s">
        <v>15</v>
      </c>
      <c r="M723" t="str">
        <f t="shared" si="11"/>
        <v>Teenager</v>
      </c>
    </row>
    <row r="724" spans="1:13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K724" t="s">
        <v>1237</v>
      </c>
      <c r="L724" t="s">
        <v>15</v>
      </c>
      <c r="M724" t="str">
        <f t="shared" si="11"/>
        <v>Adult</v>
      </c>
    </row>
    <row r="725" spans="1:13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K725" t="s">
        <v>1237</v>
      </c>
      <c r="L725" t="s">
        <v>15</v>
      </c>
      <c r="M725" t="str">
        <f t="shared" si="11"/>
        <v>Middle Age</v>
      </c>
    </row>
    <row r="726" spans="1:13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  <c r="M726" t="str">
        <f t="shared" si="11"/>
        <v>Adult</v>
      </c>
    </row>
    <row r="727" spans="1:13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K727" t="s">
        <v>1237</v>
      </c>
      <c r="L727" t="s">
        <v>15</v>
      </c>
      <c r="M727" t="str">
        <f t="shared" si="11"/>
        <v>Adult</v>
      </c>
    </row>
    <row r="728" spans="1:13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K728" t="s">
        <v>1237</v>
      </c>
      <c r="L728" t="s">
        <v>15</v>
      </c>
      <c r="M728" t="str">
        <f t="shared" si="11"/>
        <v>Adult</v>
      </c>
    </row>
    <row r="729" spans="1:13">
      <c r="A729">
        <v>728</v>
      </c>
      <c r="B729">
        <v>1</v>
      </c>
      <c r="C729">
        <v>3</v>
      </c>
      <c r="D729" t="s">
        <v>1017</v>
      </c>
      <c r="E729" t="s">
        <v>17</v>
      </c>
      <c r="F729">
        <v>28</v>
      </c>
      <c r="G729">
        <v>0</v>
      </c>
      <c r="H729">
        <v>0</v>
      </c>
      <c r="I729">
        <v>36866</v>
      </c>
      <c r="J729">
        <v>7.7374999999999998</v>
      </c>
      <c r="K729" t="s">
        <v>1237</v>
      </c>
      <c r="L729" t="s">
        <v>27</v>
      </c>
      <c r="M729" t="str">
        <f t="shared" si="11"/>
        <v>Adult</v>
      </c>
    </row>
    <row r="730" spans="1:13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K730" t="s">
        <v>1237</v>
      </c>
      <c r="L730" t="s">
        <v>15</v>
      </c>
      <c r="M730" t="str">
        <f t="shared" si="11"/>
        <v>Adult</v>
      </c>
    </row>
    <row r="731" spans="1:13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K731" t="s">
        <v>1237</v>
      </c>
      <c r="L731" t="s">
        <v>15</v>
      </c>
      <c r="M731" t="str">
        <f t="shared" si="11"/>
        <v>Adult</v>
      </c>
    </row>
    <row r="732" spans="1:13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  <c r="M732" t="str">
        <f t="shared" si="11"/>
        <v>Adult</v>
      </c>
    </row>
    <row r="733" spans="1:13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K733" t="s">
        <v>1237</v>
      </c>
      <c r="L733" t="s">
        <v>20</v>
      </c>
      <c r="M733" t="str">
        <f t="shared" si="11"/>
        <v>Child</v>
      </c>
    </row>
    <row r="734" spans="1:13">
      <c r="A734">
        <v>733</v>
      </c>
      <c r="B734">
        <v>0</v>
      </c>
      <c r="C734">
        <v>2</v>
      </c>
      <c r="D734" t="s">
        <v>1023</v>
      </c>
      <c r="E734" t="s">
        <v>13</v>
      </c>
      <c r="F734">
        <v>28</v>
      </c>
      <c r="G734">
        <v>0</v>
      </c>
      <c r="H734">
        <v>0</v>
      </c>
      <c r="I734">
        <v>239855</v>
      </c>
      <c r="J734">
        <v>0</v>
      </c>
      <c r="K734" t="s">
        <v>1237</v>
      </c>
      <c r="L734" t="s">
        <v>15</v>
      </c>
      <c r="M734" t="str">
        <f t="shared" si="11"/>
        <v>Adult</v>
      </c>
    </row>
    <row r="735" spans="1:13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K735" t="s">
        <v>1237</v>
      </c>
      <c r="L735" t="s">
        <v>15</v>
      </c>
      <c r="M735" t="str">
        <f t="shared" si="11"/>
        <v>Adult</v>
      </c>
    </row>
    <row r="736" spans="1:13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K736" t="s">
        <v>1237</v>
      </c>
      <c r="L736" t="s">
        <v>15</v>
      </c>
      <c r="M736" t="str">
        <f t="shared" si="11"/>
        <v>Adult</v>
      </c>
    </row>
    <row r="737" spans="1:13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K737" t="s">
        <v>1237</v>
      </c>
      <c r="L737" t="s">
        <v>15</v>
      </c>
      <c r="M737" t="str">
        <f t="shared" si="11"/>
        <v>Adult</v>
      </c>
    </row>
    <row r="738" spans="1:13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K738" t="s">
        <v>1237</v>
      </c>
      <c r="L738" t="s">
        <v>15</v>
      </c>
      <c r="M738" t="str">
        <f t="shared" si="11"/>
        <v>Middle Age</v>
      </c>
    </row>
    <row r="739" spans="1:13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  <c r="M739" t="str">
        <f t="shared" si="11"/>
        <v>Adult</v>
      </c>
    </row>
    <row r="740" spans="1:13">
      <c r="A740">
        <v>739</v>
      </c>
      <c r="B740">
        <v>0</v>
      </c>
      <c r="C740">
        <v>3</v>
      </c>
      <c r="D740" t="s">
        <v>1030</v>
      </c>
      <c r="E740" t="s">
        <v>13</v>
      </c>
      <c r="F740">
        <v>28</v>
      </c>
      <c r="G740">
        <v>0</v>
      </c>
      <c r="H740">
        <v>0</v>
      </c>
      <c r="I740">
        <v>349201</v>
      </c>
      <c r="J740">
        <v>7.8958000000000004</v>
      </c>
      <c r="K740" t="s">
        <v>1237</v>
      </c>
      <c r="L740" t="s">
        <v>15</v>
      </c>
      <c r="M740" t="str">
        <f t="shared" si="11"/>
        <v>Adult</v>
      </c>
    </row>
    <row r="741" spans="1:13">
      <c r="A741">
        <v>740</v>
      </c>
      <c r="B741">
        <v>0</v>
      </c>
      <c r="C741">
        <v>3</v>
      </c>
      <c r="D741" t="s">
        <v>1031</v>
      </c>
      <c r="E741" t="s">
        <v>13</v>
      </c>
      <c r="F741">
        <v>28</v>
      </c>
      <c r="G741">
        <v>0</v>
      </c>
      <c r="H741">
        <v>0</v>
      </c>
      <c r="I741">
        <v>349218</v>
      </c>
      <c r="J741">
        <v>7.8958000000000004</v>
      </c>
      <c r="K741" t="s">
        <v>1237</v>
      </c>
      <c r="L741" t="s">
        <v>15</v>
      </c>
      <c r="M741" t="str">
        <f t="shared" si="11"/>
        <v>Adult</v>
      </c>
    </row>
    <row r="742" spans="1:13">
      <c r="A742">
        <v>741</v>
      </c>
      <c r="B742">
        <v>1</v>
      </c>
      <c r="C742">
        <v>1</v>
      </c>
      <c r="D742" t="s">
        <v>1032</v>
      </c>
      <c r="E742" t="s">
        <v>13</v>
      </c>
      <c r="F742">
        <v>28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  <c r="M742" t="str">
        <f t="shared" si="11"/>
        <v>Adult</v>
      </c>
    </row>
    <row r="743" spans="1:13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  <c r="M743" t="str">
        <f t="shared" si="11"/>
        <v>Adult</v>
      </c>
    </row>
    <row r="744" spans="1:13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  <c r="M744" t="str">
        <f t="shared" si="11"/>
        <v>Adult</v>
      </c>
    </row>
    <row r="745" spans="1:13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K745" t="s">
        <v>1237</v>
      </c>
      <c r="L745" t="s">
        <v>15</v>
      </c>
      <c r="M745" t="str">
        <f t="shared" si="11"/>
        <v>Adult</v>
      </c>
    </row>
    <row r="746" spans="1:13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K746" t="s">
        <v>1237</v>
      </c>
      <c r="L746" t="s">
        <v>15</v>
      </c>
      <c r="M746" t="str">
        <f t="shared" si="11"/>
        <v>Adult</v>
      </c>
    </row>
    <row r="747" spans="1:13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  <c r="M747" t="str">
        <f t="shared" si="11"/>
        <v>Senior</v>
      </c>
    </row>
    <row r="748" spans="1:13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K748" t="s">
        <v>1237</v>
      </c>
      <c r="L748" t="s">
        <v>15</v>
      </c>
      <c r="M748" t="str">
        <f t="shared" si="11"/>
        <v>Teenager</v>
      </c>
    </row>
    <row r="749" spans="1:13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K749" t="s">
        <v>1237</v>
      </c>
      <c r="L749" t="s">
        <v>15</v>
      </c>
      <c r="M749" t="str">
        <f t="shared" si="11"/>
        <v>Adult</v>
      </c>
    </row>
    <row r="750" spans="1:13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  <c r="M750" t="str">
        <f t="shared" si="11"/>
        <v>Teenager</v>
      </c>
    </row>
    <row r="751" spans="1:13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K751" t="s">
        <v>1237</v>
      </c>
      <c r="L751" t="s">
        <v>27</v>
      </c>
      <c r="M751" t="str">
        <f t="shared" si="11"/>
        <v>Adult</v>
      </c>
    </row>
    <row r="752" spans="1:13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K752" t="s">
        <v>1237</v>
      </c>
      <c r="L752" t="s">
        <v>15</v>
      </c>
      <c r="M752" t="str">
        <f t="shared" si="11"/>
        <v>Child</v>
      </c>
    </row>
    <row r="753" spans="1:13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  <c r="M753" t="str">
        <f t="shared" si="11"/>
        <v>Child</v>
      </c>
    </row>
    <row r="754" spans="1:13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K754" t="s">
        <v>1237</v>
      </c>
      <c r="L754" t="s">
        <v>15</v>
      </c>
      <c r="M754" t="str">
        <f t="shared" si="11"/>
        <v>Adult</v>
      </c>
    </row>
    <row r="755" spans="1:13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K755" t="s">
        <v>1237</v>
      </c>
      <c r="L755" t="s">
        <v>15</v>
      </c>
      <c r="M755" t="str">
        <f t="shared" si="11"/>
        <v>Adult</v>
      </c>
    </row>
    <row r="756" spans="1:13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K756" t="s">
        <v>1237</v>
      </c>
      <c r="L756" t="s">
        <v>15</v>
      </c>
      <c r="M756" t="str">
        <f t="shared" si="11"/>
        <v>Middle Age</v>
      </c>
    </row>
    <row r="757" spans="1:13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K757" t="s">
        <v>1237</v>
      </c>
      <c r="L757" t="s">
        <v>15</v>
      </c>
      <c r="M757" t="str">
        <f t="shared" si="11"/>
        <v>Child</v>
      </c>
    </row>
    <row r="758" spans="1:13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K758" t="s">
        <v>1237</v>
      </c>
      <c r="L758" t="s">
        <v>15</v>
      </c>
      <c r="M758" t="str">
        <f t="shared" si="11"/>
        <v>Adult</v>
      </c>
    </row>
    <row r="759" spans="1:13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K759" t="s">
        <v>1237</v>
      </c>
      <c r="L759" t="s">
        <v>15</v>
      </c>
      <c r="M759" t="str">
        <f t="shared" si="11"/>
        <v>Teenager</v>
      </c>
    </row>
    <row r="760" spans="1:13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K760" t="s">
        <v>1237</v>
      </c>
      <c r="L760" t="s">
        <v>15</v>
      </c>
      <c r="M760" t="str">
        <f t="shared" si="11"/>
        <v>Adult</v>
      </c>
    </row>
    <row r="761" spans="1:13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  <c r="M761" t="str">
        <f t="shared" si="11"/>
        <v>Adult</v>
      </c>
    </row>
    <row r="762" spans="1:13">
      <c r="A762">
        <v>761</v>
      </c>
      <c r="B762">
        <v>0</v>
      </c>
      <c r="C762">
        <v>3</v>
      </c>
      <c r="D762" t="s">
        <v>1057</v>
      </c>
      <c r="E762" t="s">
        <v>13</v>
      </c>
      <c r="F762">
        <v>28</v>
      </c>
      <c r="G762">
        <v>0</v>
      </c>
      <c r="H762">
        <v>0</v>
      </c>
      <c r="I762">
        <v>358585</v>
      </c>
      <c r="J762">
        <v>14.5</v>
      </c>
      <c r="K762" t="s">
        <v>1237</v>
      </c>
      <c r="L762" t="s">
        <v>15</v>
      </c>
      <c r="M762" t="str">
        <f t="shared" si="11"/>
        <v>Adult</v>
      </c>
    </row>
    <row r="763" spans="1:13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K763" t="s">
        <v>1237</v>
      </c>
      <c r="L763" t="s">
        <v>15</v>
      </c>
      <c r="M763" t="str">
        <f t="shared" si="11"/>
        <v>Middle Age</v>
      </c>
    </row>
    <row r="764" spans="1:13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K764" t="s">
        <v>1237</v>
      </c>
      <c r="L764" t="s">
        <v>20</v>
      </c>
      <c r="M764" t="str">
        <f t="shared" si="11"/>
        <v>Adult</v>
      </c>
    </row>
    <row r="765" spans="1:13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  <c r="M765" t="str">
        <f t="shared" si="11"/>
        <v>Adult</v>
      </c>
    </row>
    <row r="766" spans="1:13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K766" t="s">
        <v>1237</v>
      </c>
      <c r="L766" t="s">
        <v>15</v>
      </c>
      <c r="M766" t="str">
        <f t="shared" si="11"/>
        <v>Teenager</v>
      </c>
    </row>
    <row r="767" spans="1:13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  <c r="M767" t="str">
        <f t="shared" si="11"/>
        <v>Middle Age</v>
      </c>
    </row>
    <row r="768" spans="1:13">
      <c r="A768">
        <v>767</v>
      </c>
      <c r="B768">
        <v>0</v>
      </c>
      <c r="C768">
        <v>1</v>
      </c>
      <c r="D768" t="s">
        <v>1065</v>
      </c>
      <c r="E768" t="s">
        <v>13</v>
      </c>
      <c r="F768">
        <v>28</v>
      </c>
      <c r="G768">
        <v>0</v>
      </c>
      <c r="H768">
        <v>0</v>
      </c>
      <c r="I768">
        <v>112379</v>
      </c>
      <c r="J768">
        <v>39.6</v>
      </c>
      <c r="K768" t="s">
        <v>1237</v>
      </c>
      <c r="L768" t="s">
        <v>20</v>
      </c>
      <c r="M768" t="str">
        <f t="shared" si="11"/>
        <v>Adult</v>
      </c>
    </row>
    <row r="769" spans="1:13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K769" t="s">
        <v>1237</v>
      </c>
      <c r="L769" t="s">
        <v>27</v>
      </c>
      <c r="M769" t="str">
        <f t="shared" si="11"/>
        <v>Adult</v>
      </c>
    </row>
    <row r="770" spans="1:13">
      <c r="A770">
        <v>769</v>
      </c>
      <c r="B770">
        <v>0</v>
      </c>
      <c r="C770">
        <v>3</v>
      </c>
      <c r="D770" t="s">
        <v>1067</v>
      </c>
      <c r="E770" t="s">
        <v>13</v>
      </c>
      <c r="F770">
        <v>28</v>
      </c>
      <c r="G770">
        <v>1</v>
      </c>
      <c r="H770">
        <v>0</v>
      </c>
      <c r="I770">
        <v>371110</v>
      </c>
      <c r="J770">
        <v>24.15</v>
      </c>
      <c r="K770" t="s">
        <v>1237</v>
      </c>
      <c r="L770" t="s">
        <v>27</v>
      </c>
      <c r="M770" t="str">
        <f t="shared" ref="M770:M833" si="12">IF(F770&lt;13,"Child",IF(F770&lt;20,"Teenager",IF(F770&lt;40,"Adult",IF(F770&lt;60,"Middle Age","Senior"))))</f>
        <v>Adult</v>
      </c>
    </row>
    <row r="771" spans="1:13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K771" t="s">
        <v>1237</v>
      </c>
      <c r="L771" t="s">
        <v>15</v>
      </c>
      <c r="M771" t="str">
        <f t="shared" si="12"/>
        <v>Adult</v>
      </c>
    </row>
    <row r="772" spans="1:13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K772" t="s">
        <v>1237</v>
      </c>
      <c r="L772" t="s">
        <v>15</v>
      </c>
      <c r="M772" t="str">
        <f t="shared" si="12"/>
        <v>Adult</v>
      </c>
    </row>
    <row r="773" spans="1:13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K773" t="s">
        <v>1237</v>
      </c>
      <c r="L773" t="s">
        <v>15</v>
      </c>
      <c r="M773" t="str">
        <f t="shared" si="12"/>
        <v>Middle Age</v>
      </c>
    </row>
    <row r="774" spans="1:13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  <c r="M774" t="str">
        <f t="shared" si="12"/>
        <v>Middle Age</v>
      </c>
    </row>
    <row r="775" spans="1:13">
      <c r="A775">
        <v>774</v>
      </c>
      <c r="B775">
        <v>0</v>
      </c>
      <c r="C775">
        <v>3</v>
      </c>
      <c r="D775" t="s">
        <v>1074</v>
      </c>
      <c r="E775" t="s">
        <v>13</v>
      </c>
      <c r="F775">
        <v>28</v>
      </c>
      <c r="G775">
        <v>0</v>
      </c>
      <c r="H775">
        <v>0</v>
      </c>
      <c r="I775">
        <v>2674</v>
      </c>
      <c r="J775">
        <v>7.2249999999999996</v>
      </c>
      <c r="K775" t="s">
        <v>1237</v>
      </c>
      <c r="L775" t="s">
        <v>20</v>
      </c>
      <c r="M775" t="str">
        <f t="shared" si="12"/>
        <v>Adult</v>
      </c>
    </row>
    <row r="776" spans="1:13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K776" t="s">
        <v>1237</v>
      </c>
      <c r="L776" t="s">
        <v>15</v>
      </c>
      <c r="M776" t="str">
        <f t="shared" si="12"/>
        <v>Middle Age</v>
      </c>
    </row>
    <row r="777" spans="1:13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K777" t="s">
        <v>1237</v>
      </c>
      <c r="L777" t="s">
        <v>15</v>
      </c>
      <c r="M777" t="str">
        <f t="shared" si="12"/>
        <v>Teenager</v>
      </c>
    </row>
    <row r="778" spans="1:13">
      <c r="A778">
        <v>777</v>
      </c>
      <c r="B778">
        <v>0</v>
      </c>
      <c r="C778">
        <v>3</v>
      </c>
      <c r="D778" t="s">
        <v>1077</v>
      </c>
      <c r="E778" t="s">
        <v>13</v>
      </c>
      <c r="F778">
        <v>28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  <c r="M778" t="str">
        <f t="shared" si="12"/>
        <v>Adult</v>
      </c>
    </row>
    <row r="779" spans="1:13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K779" t="s">
        <v>1237</v>
      </c>
      <c r="L779" t="s">
        <v>15</v>
      </c>
      <c r="M779" t="str">
        <f t="shared" si="12"/>
        <v>Child</v>
      </c>
    </row>
    <row r="780" spans="1:13">
      <c r="A780">
        <v>779</v>
      </c>
      <c r="B780">
        <v>0</v>
      </c>
      <c r="C780">
        <v>3</v>
      </c>
      <c r="D780" t="s">
        <v>1080</v>
      </c>
      <c r="E780" t="s">
        <v>13</v>
      </c>
      <c r="F780">
        <v>28</v>
      </c>
      <c r="G780">
        <v>0</v>
      </c>
      <c r="H780">
        <v>0</v>
      </c>
      <c r="I780">
        <v>36865</v>
      </c>
      <c r="J780">
        <v>7.7374999999999998</v>
      </c>
      <c r="K780" t="s">
        <v>1237</v>
      </c>
      <c r="L780" t="s">
        <v>27</v>
      </c>
      <c r="M780" t="str">
        <f t="shared" si="12"/>
        <v>Adult</v>
      </c>
    </row>
    <row r="781" spans="1:13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  <c r="M781" t="str">
        <f t="shared" si="12"/>
        <v>Middle Age</v>
      </c>
    </row>
    <row r="782" spans="1:13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K782" t="s">
        <v>1237</v>
      </c>
      <c r="L782" t="s">
        <v>20</v>
      </c>
      <c r="M782" t="str">
        <f t="shared" si="12"/>
        <v>Teenager</v>
      </c>
    </row>
    <row r="783" spans="1:13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  <c r="M783" t="str">
        <f t="shared" si="12"/>
        <v>Teenager</v>
      </c>
    </row>
    <row r="784" spans="1:13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  <c r="M784" t="str">
        <f t="shared" si="12"/>
        <v>Adult</v>
      </c>
    </row>
    <row r="785" spans="1:13">
      <c r="A785">
        <v>784</v>
      </c>
      <c r="B785">
        <v>0</v>
      </c>
      <c r="C785">
        <v>3</v>
      </c>
      <c r="D785" t="s">
        <v>1087</v>
      </c>
      <c r="E785" t="s">
        <v>13</v>
      </c>
      <c r="F785">
        <v>28</v>
      </c>
      <c r="G785">
        <v>1</v>
      </c>
      <c r="H785">
        <v>2</v>
      </c>
      <c r="I785" t="s">
        <v>1088</v>
      </c>
      <c r="J785">
        <v>23.45</v>
      </c>
      <c r="K785" t="s">
        <v>1237</v>
      </c>
      <c r="L785" t="s">
        <v>15</v>
      </c>
      <c r="M785" t="str">
        <f t="shared" si="12"/>
        <v>Adult</v>
      </c>
    </row>
    <row r="786" spans="1:13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K786" t="s">
        <v>1237</v>
      </c>
      <c r="L786" t="s">
        <v>15</v>
      </c>
      <c r="M786" t="str">
        <f t="shared" si="12"/>
        <v>Adult</v>
      </c>
    </row>
    <row r="787" spans="1:13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K787" t="s">
        <v>1237</v>
      </c>
      <c r="L787" t="s">
        <v>15</v>
      </c>
      <c r="M787" t="str">
        <f t="shared" si="12"/>
        <v>Adult</v>
      </c>
    </row>
    <row r="788" spans="1:13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K788" t="s">
        <v>1237</v>
      </c>
      <c r="L788" t="s">
        <v>15</v>
      </c>
      <c r="M788" t="str">
        <f t="shared" si="12"/>
        <v>Teenager</v>
      </c>
    </row>
    <row r="789" spans="1:13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K789" t="s">
        <v>1237</v>
      </c>
      <c r="L789" t="s">
        <v>27</v>
      </c>
      <c r="M789" t="str">
        <f t="shared" si="12"/>
        <v>Child</v>
      </c>
    </row>
    <row r="790" spans="1:13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K790" t="s">
        <v>1237</v>
      </c>
      <c r="L790" t="s">
        <v>15</v>
      </c>
      <c r="M790" t="str">
        <f t="shared" si="12"/>
        <v>Child</v>
      </c>
    </row>
    <row r="791" spans="1:13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  <c r="M791" t="str">
        <f t="shared" si="12"/>
        <v>Middle Age</v>
      </c>
    </row>
    <row r="792" spans="1:13">
      <c r="A792">
        <v>791</v>
      </c>
      <c r="B792">
        <v>0</v>
      </c>
      <c r="C792">
        <v>3</v>
      </c>
      <c r="D792" t="s">
        <v>1097</v>
      </c>
      <c r="E792" t="s">
        <v>13</v>
      </c>
      <c r="F792">
        <v>28</v>
      </c>
      <c r="G792">
        <v>0</v>
      </c>
      <c r="H792">
        <v>0</v>
      </c>
      <c r="I792">
        <v>12460</v>
      </c>
      <c r="J792">
        <v>7.75</v>
      </c>
      <c r="K792" t="s">
        <v>1237</v>
      </c>
      <c r="L792" t="s">
        <v>27</v>
      </c>
      <c r="M792" t="str">
        <f t="shared" si="12"/>
        <v>Adult</v>
      </c>
    </row>
    <row r="793" spans="1:13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K793" t="s">
        <v>1237</v>
      </c>
      <c r="L793" t="s">
        <v>15</v>
      </c>
      <c r="M793" t="str">
        <f t="shared" si="12"/>
        <v>Teenager</v>
      </c>
    </row>
    <row r="794" spans="1:13">
      <c r="A794">
        <v>793</v>
      </c>
      <c r="B794">
        <v>0</v>
      </c>
      <c r="C794">
        <v>3</v>
      </c>
      <c r="D794" t="s">
        <v>1099</v>
      </c>
      <c r="E794" t="s">
        <v>17</v>
      </c>
      <c r="F794">
        <v>28</v>
      </c>
      <c r="G794">
        <v>8</v>
      </c>
      <c r="H794">
        <v>2</v>
      </c>
      <c r="I794" t="s">
        <v>251</v>
      </c>
      <c r="J794">
        <v>69.55</v>
      </c>
      <c r="K794" t="s">
        <v>1237</v>
      </c>
      <c r="L794" t="s">
        <v>15</v>
      </c>
      <c r="M794" t="str">
        <f t="shared" si="12"/>
        <v>Adult</v>
      </c>
    </row>
    <row r="795" spans="1:13">
      <c r="A795">
        <v>794</v>
      </c>
      <c r="B795">
        <v>0</v>
      </c>
      <c r="C795">
        <v>1</v>
      </c>
      <c r="D795" t="s">
        <v>1100</v>
      </c>
      <c r="E795" t="s">
        <v>13</v>
      </c>
      <c r="F795">
        <v>28</v>
      </c>
      <c r="G795">
        <v>0</v>
      </c>
      <c r="H795">
        <v>0</v>
      </c>
      <c r="I795" t="s">
        <v>1101</v>
      </c>
      <c r="J795">
        <v>30.695799999999998</v>
      </c>
      <c r="K795" t="s">
        <v>1237</v>
      </c>
      <c r="L795" t="s">
        <v>20</v>
      </c>
      <c r="M795" t="str">
        <f t="shared" si="12"/>
        <v>Adult</v>
      </c>
    </row>
    <row r="796" spans="1:13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K796" t="s">
        <v>1237</v>
      </c>
      <c r="L796" t="s">
        <v>15</v>
      </c>
      <c r="M796" t="str">
        <f t="shared" si="12"/>
        <v>Adult</v>
      </c>
    </row>
    <row r="797" spans="1:13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K797" t="s">
        <v>1237</v>
      </c>
      <c r="L797" t="s">
        <v>15</v>
      </c>
      <c r="M797" t="str">
        <f t="shared" si="12"/>
        <v>Adult</v>
      </c>
    </row>
    <row r="798" spans="1:13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  <c r="M798" t="str">
        <f t="shared" si="12"/>
        <v>Middle Age</v>
      </c>
    </row>
    <row r="799" spans="1:13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K799" t="s">
        <v>1237</v>
      </c>
      <c r="L799" t="s">
        <v>15</v>
      </c>
      <c r="M799" t="str">
        <f t="shared" si="12"/>
        <v>Adult</v>
      </c>
    </row>
    <row r="800" spans="1:13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K800" t="s">
        <v>1237</v>
      </c>
      <c r="L800" t="s">
        <v>20</v>
      </c>
      <c r="M800" t="str">
        <f t="shared" si="12"/>
        <v>Adult</v>
      </c>
    </row>
    <row r="801" spans="1:13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K801" t="s">
        <v>1237</v>
      </c>
      <c r="L801" t="s">
        <v>15</v>
      </c>
      <c r="M801" t="str">
        <f t="shared" si="12"/>
        <v>Adult</v>
      </c>
    </row>
    <row r="802" spans="1:13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K802" t="s">
        <v>1237</v>
      </c>
      <c r="L802" t="s">
        <v>15</v>
      </c>
      <c r="M802" t="str">
        <f t="shared" si="12"/>
        <v>Adult</v>
      </c>
    </row>
    <row r="803" spans="1:13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K803" t="s">
        <v>1237</v>
      </c>
      <c r="L803" t="s">
        <v>15</v>
      </c>
      <c r="M803" t="str">
        <f t="shared" si="12"/>
        <v>Adult</v>
      </c>
    </row>
    <row r="804" spans="1:13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  <c r="M804" t="str">
        <f t="shared" si="12"/>
        <v>Child</v>
      </c>
    </row>
    <row r="805" spans="1:13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K805" t="s">
        <v>1237</v>
      </c>
      <c r="L805" t="s">
        <v>20</v>
      </c>
      <c r="M805" t="str">
        <f t="shared" si="12"/>
        <v>Child</v>
      </c>
    </row>
    <row r="806" spans="1:13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K806" t="s">
        <v>1237</v>
      </c>
      <c r="L806" t="s">
        <v>15</v>
      </c>
      <c r="M806" t="str">
        <f t="shared" si="12"/>
        <v>Adult</v>
      </c>
    </row>
    <row r="807" spans="1:13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K807" t="s">
        <v>1237</v>
      </c>
      <c r="L807" t="s">
        <v>15</v>
      </c>
      <c r="M807" t="str">
        <f t="shared" si="12"/>
        <v>Adult</v>
      </c>
    </row>
    <row r="808" spans="1:13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  <c r="M808" t="str">
        <f t="shared" si="12"/>
        <v>Adult</v>
      </c>
    </row>
    <row r="809" spans="1:13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K809" t="s">
        <v>1237</v>
      </c>
      <c r="L809" t="s">
        <v>15</v>
      </c>
      <c r="M809" t="str">
        <f t="shared" si="12"/>
        <v>Teenager</v>
      </c>
    </row>
    <row r="810" spans="1:13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K810" t="s">
        <v>1237</v>
      </c>
      <c r="L810" t="s">
        <v>15</v>
      </c>
      <c r="M810" t="str">
        <f t="shared" si="12"/>
        <v>Adult</v>
      </c>
    </row>
    <row r="811" spans="1:13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  <c r="M811" t="str">
        <f t="shared" si="12"/>
        <v>Adult</v>
      </c>
    </row>
    <row r="812" spans="1:13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K812" t="s">
        <v>1237</v>
      </c>
      <c r="L812" t="s">
        <v>15</v>
      </c>
      <c r="M812" t="str">
        <f t="shared" si="12"/>
        <v>Adult</v>
      </c>
    </row>
    <row r="813" spans="1:13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K813" t="s">
        <v>1237</v>
      </c>
      <c r="L813" t="s">
        <v>15</v>
      </c>
      <c r="M813" t="str">
        <f t="shared" si="12"/>
        <v>Adult</v>
      </c>
    </row>
    <row r="814" spans="1:13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K814" t="s">
        <v>1237</v>
      </c>
      <c r="L814" t="s">
        <v>15</v>
      </c>
      <c r="M814" t="str">
        <f t="shared" si="12"/>
        <v>Adult</v>
      </c>
    </row>
    <row r="815" spans="1:13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K815" t="s">
        <v>1237</v>
      </c>
      <c r="L815" t="s">
        <v>15</v>
      </c>
      <c r="M815" t="str">
        <f t="shared" si="12"/>
        <v>Child</v>
      </c>
    </row>
    <row r="816" spans="1:13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K816" t="s">
        <v>1237</v>
      </c>
      <c r="L816" t="s">
        <v>15</v>
      </c>
      <c r="M816" t="str">
        <f t="shared" si="12"/>
        <v>Adult</v>
      </c>
    </row>
    <row r="817" spans="1:13">
      <c r="A817">
        <v>816</v>
      </c>
      <c r="B817">
        <v>0</v>
      </c>
      <c r="C817">
        <v>1</v>
      </c>
      <c r="D817" t="s">
        <v>1125</v>
      </c>
      <c r="E817" t="s">
        <v>13</v>
      </c>
      <c r="F817">
        <v>28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  <c r="M817" t="str">
        <f t="shared" si="12"/>
        <v>Adult</v>
      </c>
    </row>
    <row r="818" spans="1:13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K818" t="s">
        <v>1237</v>
      </c>
      <c r="L818" t="s">
        <v>15</v>
      </c>
      <c r="M818" t="str">
        <f t="shared" si="12"/>
        <v>Adult</v>
      </c>
    </row>
    <row r="819" spans="1:13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K819" t="s">
        <v>1237</v>
      </c>
      <c r="L819" t="s">
        <v>20</v>
      </c>
      <c r="M819" t="str">
        <f t="shared" si="12"/>
        <v>Adult</v>
      </c>
    </row>
    <row r="820" spans="1:13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K820" t="s">
        <v>1237</v>
      </c>
      <c r="L820" t="s">
        <v>15</v>
      </c>
      <c r="M820" t="str">
        <f t="shared" si="12"/>
        <v>Middle Age</v>
      </c>
    </row>
    <row r="821" spans="1:13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K821" t="s">
        <v>1237</v>
      </c>
      <c r="L821" t="s">
        <v>15</v>
      </c>
      <c r="M821" t="str">
        <f t="shared" si="12"/>
        <v>Child</v>
      </c>
    </row>
    <row r="822" spans="1:13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  <c r="M822" t="str">
        <f t="shared" si="12"/>
        <v>Middle Age</v>
      </c>
    </row>
    <row r="823" spans="1:13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K823" t="s">
        <v>1237</v>
      </c>
      <c r="L823" t="s">
        <v>15</v>
      </c>
      <c r="M823" t="str">
        <f t="shared" si="12"/>
        <v>Adult</v>
      </c>
    </row>
    <row r="824" spans="1:13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K824" t="s">
        <v>1237</v>
      </c>
      <c r="L824" t="s">
        <v>15</v>
      </c>
      <c r="M824" t="str">
        <f t="shared" si="12"/>
        <v>Adult</v>
      </c>
    </row>
    <row r="825" spans="1:13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  <c r="M825" t="str">
        <f t="shared" si="12"/>
        <v>Adult</v>
      </c>
    </row>
    <row r="826" spans="1:13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K826" t="s">
        <v>1237</v>
      </c>
      <c r="L826" t="s">
        <v>15</v>
      </c>
      <c r="M826" t="str">
        <f t="shared" si="12"/>
        <v>Child</v>
      </c>
    </row>
    <row r="827" spans="1:13">
      <c r="A827">
        <v>826</v>
      </c>
      <c r="B827">
        <v>0</v>
      </c>
      <c r="C827">
        <v>3</v>
      </c>
      <c r="D827" t="s">
        <v>1140</v>
      </c>
      <c r="E827" t="s">
        <v>13</v>
      </c>
      <c r="F827">
        <v>28</v>
      </c>
      <c r="G827">
        <v>0</v>
      </c>
      <c r="H827">
        <v>0</v>
      </c>
      <c r="I827">
        <v>368323</v>
      </c>
      <c r="J827">
        <v>6.95</v>
      </c>
      <c r="K827" t="s">
        <v>1237</v>
      </c>
      <c r="L827" t="s">
        <v>27</v>
      </c>
      <c r="M827" t="str">
        <f t="shared" si="12"/>
        <v>Adult</v>
      </c>
    </row>
    <row r="828" spans="1:13">
      <c r="A828">
        <v>827</v>
      </c>
      <c r="B828">
        <v>0</v>
      </c>
      <c r="C828">
        <v>3</v>
      </c>
      <c r="D828" t="s">
        <v>1141</v>
      </c>
      <c r="E828" t="s">
        <v>13</v>
      </c>
      <c r="F828">
        <v>28</v>
      </c>
      <c r="G828">
        <v>0</v>
      </c>
      <c r="H828">
        <v>0</v>
      </c>
      <c r="I828">
        <v>1601</v>
      </c>
      <c r="J828">
        <v>56.495800000000003</v>
      </c>
      <c r="K828" t="s">
        <v>1237</v>
      </c>
      <c r="L828" t="s">
        <v>15</v>
      </c>
      <c r="M828" t="str">
        <f t="shared" si="12"/>
        <v>Adult</v>
      </c>
    </row>
    <row r="829" spans="1:13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K829" t="s">
        <v>1237</v>
      </c>
      <c r="L829" t="s">
        <v>20</v>
      </c>
      <c r="M829" t="str">
        <f t="shared" si="12"/>
        <v>Child</v>
      </c>
    </row>
    <row r="830" spans="1:13">
      <c r="A830">
        <v>829</v>
      </c>
      <c r="B830">
        <v>1</v>
      </c>
      <c r="C830">
        <v>3</v>
      </c>
      <c r="D830" t="s">
        <v>1143</v>
      </c>
      <c r="E830" t="s">
        <v>13</v>
      </c>
      <c r="F830">
        <v>28</v>
      </c>
      <c r="G830">
        <v>0</v>
      </c>
      <c r="H830">
        <v>0</v>
      </c>
      <c r="I830">
        <v>367228</v>
      </c>
      <c r="J830">
        <v>7.75</v>
      </c>
      <c r="K830" t="s">
        <v>1237</v>
      </c>
      <c r="L830" t="s">
        <v>27</v>
      </c>
      <c r="M830" t="str">
        <f t="shared" si="12"/>
        <v>Adult</v>
      </c>
    </row>
    <row r="831" spans="1:13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  <c r="L831" t="s">
        <v>1238</v>
      </c>
      <c r="M831" t="str">
        <f t="shared" si="12"/>
        <v>Senior</v>
      </c>
    </row>
    <row r="832" spans="1:13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K832" t="s">
        <v>1237</v>
      </c>
      <c r="L832" t="s">
        <v>20</v>
      </c>
      <c r="M832" t="str">
        <f t="shared" si="12"/>
        <v>Teenager</v>
      </c>
    </row>
    <row r="833" spans="1:13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K833" t="s">
        <v>1237</v>
      </c>
      <c r="L833" t="s">
        <v>15</v>
      </c>
      <c r="M833" t="str">
        <f t="shared" si="12"/>
        <v>Child</v>
      </c>
    </row>
    <row r="834" spans="1:13">
      <c r="A834">
        <v>833</v>
      </c>
      <c r="B834">
        <v>0</v>
      </c>
      <c r="C834">
        <v>3</v>
      </c>
      <c r="D834" t="s">
        <v>1147</v>
      </c>
      <c r="E834" t="s">
        <v>13</v>
      </c>
      <c r="F834">
        <v>28</v>
      </c>
      <c r="G834">
        <v>0</v>
      </c>
      <c r="H834">
        <v>0</v>
      </c>
      <c r="I834">
        <v>2671</v>
      </c>
      <c r="J834">
        <v>7.2291999999999996</v>
      </c>
      <c r="K834" t="s">
        <v>1237</v>
      </c>
      <c r="L834" t="s">
        <v>20</v>
      </c>
      <c r="M834" t="str">
        <f t="shared" ref="M834:M892" si="13">IF(F834&lt;13,"Child",IF(F834&lt;20,"Teenager",IF(F834&lt;40,"Adult",IF(F834&lt;60,"Middle Age","Senior"))))</f>
        <v>Adult</v>
      </c>
    </row>
    <row r="835" spans="1:13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K835" t="s">
        <v>1237</v>
      </c>
      <c r="L835" t="s">
        <v>15</v>
      </c>
      <c r="M835" t="str">
        <f t="shared" si="13"/>
        <v>Adult</v>
      </c>
    </row>
    <row r="836" spans="1:13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K836" t="s">
        <v>1237</v>
      </c>
      <c r="L836" t="s">
        <v>15</v>
      </c>
      <c r="M836" t="str">
        <f t="shared" si="13"/>
        <v>Teenager</v>
      </c>
    </row>
    <row r="837" spans="1:13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  <c r="M837" t="str">
        <f t="shared" si="13"/>
        <v>Adult</v>
      </c>
    </row>
    <row r="838" spans="1:13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K838" t="s">
        <v>1237</v>
      </c>
      <c r="L838" t="s">
        <v>15</v>
      </c>
      <c r="M838" t="str">
        <f t="shared" si="13"/>
        <v>Adult</v>
      </c>
    </row>
    <row r="839" spans="1:13">
      <c r="A839">
        <v>838</v>
      </c>
      <c r="B839">
        <v>0</v>
      </c>
      <c r="C839">
        <v>3</v>
      </c>
      <c r="D839" t="s">
        <v>1154</v>
      </c>
      <c r="E839" t="s">
        <v>13</v>
      </c>
      <c r="F839">
        <v>28</v>
      </c>
      <c r="G839">
        <v>0</v>
      </c>
      <c r="H839">
        <v>0</v>
      </c>
      <c r="I839">
        <v>392092</v>
      </c>
      <c r="J839">
        <v>8.0500000000000007</v>
      </c>
      <c r="K839" t="s">
        <v>1237</v>
      </c>
      <c r="L839" t="s">
        <v>15</v>
      </c>
      <c r="M839" t="str">
        <f t="shared" si="13"/>
        <v>Adult</v>
      </c>
    </row>
    <row r="840" spans="1:13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K840" t="s">
        <v>1237</v>
      </c>
      <c r="L840" t="s">
        <v>15</v>
      </c>
      <c r="M840" t="str">
        <f t="shared" si="13"/>
        <v>Adult</v>
      </c>
    </row>
    <row r="841" spans="1:13">
      <c r="A841">
        <v>840</v>
      </c>
      <c r="B841">
        <v>1</v>
      </c>
      <c r="C841">
        <v>1</v>
      </c>
      <c r="D841" t="s">
        <v>1156</v>
      </c>
      <c r="E841" t="s">
        <v>13</v>
      </c>
      <c r="F841">
        <v>28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  <c r="M841" t="str">
        <f t="shared" si="13"/>
        <v>Adult</v>
      </c>
    </row>
    <row r="842" spans="1:13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K842" t="s">
        <v>1237</v>
      </c>
      <c r="L842" t="s">
        <v>15</v>
      </c>
      <c r="M842" t="str">
        <f t="shared" si="13"/>
        <v>Adult</v>
      </c>
    </row>
    <row r="843" spans="1:13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K843" t="s">
        <v>1237</v>
      </c>
      <c r="L843" t="s">
        <v>15</v>
      </c>
      <c r="M843" t="str">
        <f t="shared" si="13"/>
        <v>Teenager</v>
      </c>
    </row>
    <row r="844" spans="1:13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K844" t="s">
        <v>1237</v>
      </c>
      <c r="L844" t="s">
        <v>20</v>
      </c>
      <c r="M844" t="str">
        <f t="shared" si="13"/>
        <v>Adult</v>
      </c>
    </row>
    <row r="845" spans="1:13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K845" t="s">
        <v>1237</v>
      </c>
      <c r="L845" t="s">
        <v>20</v>
      </c>
      <c r="M845" t="str">
        <f t="shared" si="13"/>
        <v>Adult</v>
      </c>
    </row>
    <row r="846" spans="1:13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K846" t="s">
        <v>1237</v>
      </c>
      <c r="L846" t="s">
        <v>15</v>
      </c>
      <c r="M846" t="str">
        <f t="shared" si="13"/>
        <v>Teenager</v>
      </c>
    </row>
    <row r="847" spans="1:13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K847" t="s">
        <v>1237</v>
      </c>
      <c r="L847" t="s">
        <v>15</v>
      </c>
      <c r="M847" t="str">
        <f t="shared" si="13"/>
        <v>Middle Age</v>
      </c>
    </row>
    <row r="848" spans="1:13">
      <c r="A848">
        <v>847</v>
      </c>
      <c r="B848">
        <v>0</v>
      </c>
      <c r="C848">
        <v>3</v>
      </c>
      <c r="D848" t="s">
        <v>1166</v>
      </c>
      <c r="E848" t="s">
        <v>13</v>
      </c>
      <c r="F848">
        <v>28</v>
      </c>
      <c r="G848">
        <v>8</v>
      </c>
      <c r="H848">
        <v>2</v>
      </c>
      <c r="I848" t="s">
        <v>251</v>
      </c>
      <c r="J848">
        <v>69.55</v>
      </c>
      <c r="K848" t="s">
        <v>1237</v>
      </c>
      <c r="L848" t="s">
        <v>15</v>
      </c>
      <c r="M848" t="str">
        <f t="shared" si="13"/>
        <v>Adult</v>
      </c>
    </row>
    <row r="849" spans="1:13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K849" t="s">
        <v>1237</v>
      </c>
      <c r="L849" t="s">
        <v>20</v>
      </c>
      <c r="M849" t="str">
        <f t="shared" si="13"/>
        <v>Adult</v>
      </c>
    </row>
    <row r="850" spans="1:13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K850" t="s">
        <v>1237</v>
      </c>
      <c r="L850" t="s">
        <v>15</v>
      </c>
      <c r="M850" t="str">
        <f t="shared" si="13"/>
        <v>Adult</v>
      </c>
    </row>
    <row r="851" spans="1:13">
      <c r="A851">
        <v>850</v>
      </c>
      <c r="B851">
        <v>1</v>
      </c>
      <c r="C851">
        <v>1</v>
      </c>
      <c r="D851" t="s">
        <v>1169</v>
      </c>
      <c r="E851" t="s">
        <v>17</v>
      </c>
      <c r="F851">
        <v>28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  <c r="M851" t="str">
        <f t="shared" si="13"/>
        <v>Adult</v>
      </c>
    </row>
    <row r="852" spans="1:13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K852" t="s">
        <v>1237</v>
      </c>
      <c r="L852" t="s">
        <v>15</v>
      </c>
      <c r="M852" t="str">
        <f t="shared" si="13"/>
        <v>Child</v>
      </c>
    </row>
    <row r="853" spans="1:13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K853" t="s">
        <v>1237</v>
      </c>
      <c r="L853" t="s">
        <v>15</v>
      </c>
      <c r="M853" t="str">
        <f t="shared" si="13"/>
        <v>Senior</v>
      </c>
    </row>
    <row r="854" spans="1:13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K854" t="s">
        <v>1237</v>
      </c>
      <c r="L854" t="s">
        <v>20</v>
      </c>
      <c r="M854" t="str">
        <f t="shared" si="13"/>
        <v>Child</v>
      </c>
    </row>
    <row r="855" spans="1:13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  <c r="M855" t="str">
        <f t="shared" si="13"/>
        <v>Teenager</v>
      </c>
    </row>
    <row r="856" spans="1:13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K856" t="s">
        <v>1237</v>
      </c>
      <c r="L856" t="s">
        <v>15</v>
      </c>
      <c r="M856" t="str">
        <f t="shared" si="13"/>
        <v>Middle Age</v>
      </c>
    </row>
    <row r="857" spans="1:13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K857" t="s">
        <v>1237</v>
      </c>
      <c r="L857" t="s">
        <v>15</v>
      </c>
      <c r="M857" t="str">
        <f t="shared" si="13"/>
        <v>Teenager</v>
      </c>
    </row>
    <row r="858" spans="1:13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K858" t="s">
        <v>1237</v>
      </c>
      <c r="L858" t="s">
        <v>15</v>
      </c>
      <c r="M858" t="str">
        <f t="shared" si="13"/>
        <v>Middle Age</v>
      </c>
    </row>
    <row r="859" spans="1:13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  <c r="M859" t="str">
        <f t="shared" si="13"/>
        <v>Middle Age</v>
      </c>
    </row>
    <row r="860" spans="1:13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K860" t="s">
        <v>1237</v>
      </c>
      <c r="L860" t="s">
        <v>20</v>
      </c>
      <c r="M860" t="str">
        <f t="shared" si="13"/>
        <v>Adult</v>
      </c>
    </row>
    <row r="861" spans="1:13">
      <c r="A861">
        <v>860</v>
      </c>
      <c r="B861">
        <v>0</v>
      </c>
      <c r="C861">
        <v>3</v>
      </c>
      <c r="D861" t="s">
        <v>1182</v>
      </c>
      <c r="E861" t="s">
        <v>13</v>
      </c>
      <c r="F861">
        <v>28</v>
      </c>
      <c r="G861">
        <v>0</v>
      </c>
      <c r="H861">
        <v>0</v>
      </c>
      <c r="I861">
        <v>2629</v>
      </c>
      <c r="J861">
        <v>7.2291999999999996</v>
      </c>
      <c r="K861" t="s">
        <v>1237</v>
      </c>
      <c r="L861" t="s">
        <v>20</v>
      </c>
      <c r="M861" t="str">
        <f t="shared" si="13"/>
        <v>Adult</v>
      </c>
    </row>
    <row r="862" spans="1:13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K862" t="s">
        <v>1237</v>
      </c>
      <c r="L862" t="s">
        <v>15</v>
      </c>
      <c r="M862" t="str">
        <f t="shared" si="13"/>
        <v>Middle Age</v>
      </c>
    </row>
    <row r="863" spans="1:13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K863" t="s">
        <v>1237</v>
      </c>
      <c r="L863" t="s">
        <v>15</v>
      </c>
      <c r="M863" t="str">
        <f t="shared" si="13"/>
        <v>Adult</v>
      </c>
    </row>
    <row r="864" spans="1:13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  <c r="M864" t="str">
        <f t="shared" si="13"/>
        <v>Middle Age</v>
      </c>
    </row>
    <row r="865" spans="1:13">
      <c r="A865">
        <v>864</v>
      </c>
      <c r="B865">
        <v>0</v>
      </c>
      <c r="C865">
        <v>3</v>
      </c>
      <c r="D865" t="s">
        <v>1186</v>
      </c>
      <c r="E865" t="s">
        <v>17</v>
      </c>
      <c r="F865">
        <v>28</v>
      </c>
      <c r="G865">
        <v>8</v>
      </c>
      <c r="H865">
        <v>2</v>
      </c>
      <c r="I865" t="s">
        <v>251</v>
      </c>
      <c r="J865">
        <v>69.55</v>
      </c>
      <c r="K865" t="s">
        <v>1237</v>
      </c>
      <c r="L865" t="s">
        <v>15</v>
      </c>
      <c r="M865" t="str">
        <f t="shared" si="13"/>
        <v>Adult</v>
      </c>
    </row>
    <row r="866" spans="1:13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K866" t="s">
        <v>1237</v>
      </c>
      <c r="L866" t="s">
        <v>15</v>
      </c>
      <c r="M866" t="str">
        <f t="shared" si="13"/>
        <v>Adult</v>
      </c>
    </row>
    <row r="867" spans="1:13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K867" t="s">
        <v>1237</v>
      </c>
      <c r="L867" t="s">
        <v>15</v>
      </c>
      <c r="M867" t="str">
        <f t="shared" si="13"/>
        <v>Middle Age</v>
      </c>
    </row>
    <row r="868" spans="1:13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K868" t="s">
        <v>1237</v>
      </c>
      <c r="L868" t="s">
        <v>20</v>
      </c>
      <c r="M868" t="str">
        <f t="shared" si="13"/>
        <v>Adult</v>
      </c>
    </row>
    <row r="869" spans="1:13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  <c r="M869" t="str">
        <f t="shared" si="13"/>
        <v>Adult</v>
      </c>
    </row>
    <row r="870" spans="1:13">
      <c r="A870">
        <v>869</v>
      </c>
      <c r="B870">
        <v>0</v>
      </c>
      <c r="C870">
        <v>3</v>
      </c>
      <c r="D870" t="s">
        <v>1194</v>
      </c>
      <c r="E870" t="s">
        <v>13</v>
      </c>
      <c r="F870">
        <v>28</v>
      </c>
      <c r="G870">
        <v>0</v>
      </c>
      <c r="H870">
        <v>0</v>
      </c>
      <c r="I870">
        <v>345777</v>
      </c>
      <c r="J870">
        <v>9.5</v>
      </c>
      <c r="K870" t="s">
        <v>1237</v>
      </c>
      <c r="L870" t="s">
        <v>15</v>
      </c>
      <c r="M870" t="str">
        <f t="shared" si="13"/>
        <v>Adult</v>
      </c>
    </row>
    <row r="871" spans="1:13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K871" t="s">
        <v>1237</v>
      </c>
      <c r="L871" t="s">
        <v>15</v>
      </c>
      <c r="M871" t="str">
        <f t="shared" si="13"/>
        <v>Child</v>
      </c>
    </row>
    <row r="872" spans="1:13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K872" t="s">
        <v>1237</v>
      </c>
      <c r="L872" t="s">
        <v>15</v>
      </c>
      <c r="M872" t="str">
        <f t="shared" si="13"/>
        <v>Adult</v>
      </c>
    </row>
    <row r="873" spans="1:13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  <c r="M873" t="str">
        <f t="shared" si="13"/>
        <v>Middle Age</v>
      </c>
    </row>
    <row r="874" spans="1:13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  <c r="M874" t="str">
        <f t="shared" si="13"/>
        <v>Adult</v>
      </c>
    </row>
    <row r="875" spans="1:13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K875" t="s">
        <v>1237</v>
      </c>
      <c r="L875" t="s">
        <v>15</v>
      </c>
      <c r="M875" t="str">
        <f t="shared" si="13"/>
        <v>Middle Age</v>
      </c>
    </row>
    <row r="876" spans="1:13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K876" t="s">
        <v>1237</v>
      </c>
      <c r="L876" t="s">
        <v>20</v>
      </c>
      <c r="M876" t="str">
        <f t="shared" si="13"/>
        <v>Adult</v>
      </c>
    </row>
    <row r="877" spans="1:13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K877" t="s">
        <v>1237</v>
      </c>
      <c r="L877" t="s">
        <v>20</v>
      </c>
      <c r="M877" t="str">
        <f t="shared" si="13"/>
        <v>Teenager</v>
      </c>
    </row>
    <row r="878" spans="1:13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K878" t="s">
        <v>1237</v>
      </c>
      <c r="L878" t="s">
        <v>15</v>
      </c>
      <c r="M878" t="str">
        <f t="shared" si="13"/>
        <v>Adult</v>
      </c>
    </row>
    <row r="879" spans="1:13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K879" t="s">
        <v>1237</v>
      </c>
      <c r="L879" t="s">
        <v>15</v>
      </c>
      <c r="M879" t="str">
        <f t="shared" si="13"/>
        <v>Teenager</v>
      </c>
    </row>
    <row r="880" spans="1:13">
      <c r="A880">
        <v>879</v>
      </c>
      <c r="B880">
        <v>0</v>
      </c>
      <c r="C880">
        <v>3</v>
      </c>
      <c r="D880" t="s">
        <v>1204</v>
      </c>
      <c r="E880" t="s">
        <v>13</v>
      </c>
      <c r="F880">
        <v>28</v>
      </c>
      <c r="G880">
        <v>0</v>
      </c>
      <c r="H880">
        <v>0</v>
      </c>
      <c r="I880">
        <v>349217</v>
      </c>
      <c r="J880">
        <v>7.8958000000000004</v>
      </c>
      <c r="K880" t="s">
        <v>1237</v>
      </c>
      <c r="L880" t="s">
        <v>15</v>
      </c>
      <c r="M880" t="str">
        <f t="shared" si="13"/>
        <v>Adult</v>
      </c>
    </row>
    <row r="881" spans="1:13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  <c r="M881" t="str">
        <f t="shared" si="13"/>
        <v>Middle Age</v>
      </c>
    </row>
    <row r="882" spans="1:13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K882" t="s">
        <v>1237</v>
      </c>
      <c r="L882" t="s">
        <v>15</v>
      </c>
      <c r="M882" t="str">
        <f t="shared" si="13"/>
        <v>Adult</v>
      </c>
    </row>
    <row r="883" spans="1:13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K883" t="s">
        <v>1237</v>
      </c>
      <c r="L883" t="s">
        <v>15</v>
      </c>
      <c r="M883" t="str">
        <f t="shared" si="13"/>
        <v>Adult</v>
      </c>
    </row>
    <row r="884" spans="1:13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K884" t="s">
        <v>1237</v>
      </c>
      <c r="L884" t="s">
        <v>15</v>
      </c>
      <c r="M884" t="str">
        <f t="shared" si="13"/>
        <v>Adult</v>
      </c>
    </row>
    <row r="885" spans="1:13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K885" t="s">
        <v>1237</v>
      </c>
      <c r="L885" t="s">
        <v>15</v>
      </c>
      <c r="M885" t="str">
        <f t="shared" si="13"/>
        <v>Adult</v>
      </c>
    </row>
    <row r="886" spans="1:13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K886" t="s">
        <v>1237</v>
      </c>
      <c r="L886" t="s">
        <v>15</v>
      </c>
      <c r="M886" t="str">
        <f t="shared" si="13"/>
        <v>Adult</v>
      </c>
    </row>
    <row r="887" spans="1:13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K887" t="s">
        <v>1237</v>
      </c>
      <c r="L887" t="s">
        <v>27</v>
      </c>
      <c r="M887" t="str">
        <f t="shared" si="13"/>
        <v>Adult</v>
      </c>
    </row>
    <row r="888" spans="1:13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K888" t="s">
        <v>1237</v>
      </c>
      <c r="L888" t="s">
        <v>15</v>
      </c>
      <c r="M888" t="str">
        <f t="shared" si="13"/>
        <v>Adult</v>
      </c>
    </row>
    <row r="889" spans="1:13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  <c r="M889" t="str">
        <f t="shared" si="13"/>
        <v>Teenager</v>
      </c>
    </row>
    <row r="890" spans="1:13">
      <c r="A890">
        <v>889</v>
      </c>
      <c r="B890">
        <v>0</v>
      </c>
      <c r="C890">
        <v>3</v>
      </c>
      <c r="D890" t="s">
        <v>1218</v>
      </c>
      <c r="E890" t="s">
        <v>17</v>
      </c>
      <c r="F890">
        <v>28</v>
      </c>
      <c r="G890">
        <v>1</v>
      </c>
      <c r="H890">
        <v>2</v>
      </c>
      <c r="I890" t="s">
        <v>1088</v>
      </c>
      <c r="J890">
        <v>23.45</v>
      </c>
      <c r="K890" t="s">
        <v>1237</v>
      </c>
      <c r="L890" t="s">
        <v>15</v>
      </c>
      <c r="M890" t="str">
        <f t="shared" si="13"/>
        <v>Adult</v>
      </c>
    </row>
    <row r="891" spans="1:13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  <c r="M891" t="str">
        <f t="shared" si="13"/>
        <v>Adult</v>
      </c>
    </row>
    <row r="892" spans="1:13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K892" t="s">
        <v>1237</v>
      </c>
      <c r="L892" t="s">
        <v>27</v>
      </c>
      <c r="M892" t="str">
        <f t="shared" si="13"/>
        <v>Adult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D9AE-ED79-4BB2-8AA4-1B987FF49FE9}">
  <dimension ref="A1:G26"/>
  <sheetViews>
    <sheetView workbookViewId="0">
      <selection activeCell="D21" sqref="D21"/>
    </sheetView>
  </sheetViews>
  <sheetFormatPr defaultRowHeight="14.4"/>
  <cols>
    <col min="1" max="1" width="21.5546875" customWidth="1"/>
    <col min="2" max="2" width="19.33203125" customWidth="1"/>
    <col min="4" max="4" width="14.109375" customWidth="1"/>
    <col min="5" max="5" width="14.44140625" customWidth="1"/>
    <col min="6" max="6" width="14.77734375" customWidth="1"/>
    <col min="7" max="7" width="16.21875" customWidth="1"/>
  </cols>
  <sheetData>
    <row r="1" spans="1:7">
      <c r="A1" s="1" t="s">
        <v>1222</v>
      </c>
      <c r="B1" s="1" t="s">
        <v>1223</v>
      </c>
      <c r="D1" s="5" t="s">
        <v>1239</v>
      </c>
      <c r="E1" s="5" t="s">
        <v>1240</v>
      </c>
      <c r="F1" s="5" t="s">
        <v>1241</v>
      </c>
      <c r="G1" s="5" t="s">
        <v>1242</v>
      </c>
    </row>
    <row r="2" spans="1:7">
      <c r="A2" s="3" t="s">
        <v>1224</v>
      </c>
      <c r="B2" s="3" t="s">
        <v>1225</v>
      </c>
      <c r="D2">
        <f>MIN(train!F2:F892)</f>
        <v>0.42</v>
      </c>
      <c r="E2">
        <f>MAX(train!F2:F892)</f>
        <v>80</v>
      </c>
      <c r="F2">
        <f>MIN(train!J2:J892)</f>
        <v>0</v>
      </c>
      <c r="G2">
        <f>MAX(train!J2:J892)</f>
        <v>512.32920000000001</v>
      </c>
    </row>
    <row r="3" spans="1:7">
      <c r="A3" s="3" t="s">
        <v>0</v>
      </c>
      <c r="B3">
        <f>COUNTBLANK(train!A2:A892)</f>
        <v>0</v>
      </c>
    </row>
    <row r="4" spans="1:7">
      <c r="A4" s="3" t="s">
        <v>1</v>
      </c>
      <c r="B4">
        <f>COUNTBLANK(train!B2:B892)</f>
        <v>0</v>
      </c>
    </row>
    <row r="5" spans="1:7">
      <c r="A5" s="3" t="s">
        <v>2</v>
      </c>
      <c r="B5">
        <f>COUNTBLANK(train!C2:C892)</f>
        <v>0</v>
      </c>
    </row>
    <row r="6" spans="1:7">
      <c r="A6" s="3" t="s">
        <v>3</v>
      </c>
      <c r="B6" s="2">
        <f>COUNTBLANK(train!F2:F892)</f>
        <v>0</v>
      </c>
    </row>
    <row r="7" spans="1:7">
      <c r="A7" s="3" t="s">
        <v>4</v>
      </c>
      <c r="B7">
        <v>0</v>
      </c>
    </row>
    <row r="8" spans="1:7">
      <c r="A8" s="5" t="s">
        <v>5</v>
      </c>
      <c r="B8">
        <f>COUNTBLANK(train!F2:F892)</f>
        <v>0</v>
      </c>
      <c r="E8" s="1" t="s">
        <v>1226</v>
      </c>
      <c r="F8" s="1" t="s">
        <v>1243</v>
      </c>
      <c r="G8" s="7" t="s">
        <v>1244</v>
      </c>
    </row>
    <row r="9" spans="1:7">
      <c r="A9" s="3" t="s">
        <v>6</v>
      </c>
      <c r="B9">
        <f>COUNTBLANK(train!G2:G892)</f>
        <v>0</v>
      </c>
      <c r="E9" s="2" t="s">
        <v>1245</v>
      </c>
      <c r="F9" s="6">
        <f>COUNTBLANK(train!F2:F892)</f>
        <v>0</v>
      </c>
      <c r="G9" s="7">
        <v>0</v>
      </c>
    </row>
    <row r="10" spans="1:7">
      <c r="A10" s="3" t="s">
        <v>7</v>
      </c>
      <c r="B10">
        <f>COUNTBLANK(train!H2:H892)</f>
        <v>0</v>
      </c>
      <c r="E10" s="2" t="s">
        <v>1246</v>
      </c>
      <c r="F10" s="6">
        <f>COUNTBLANK(train!K2:K892)</f>
        <v>0</v>
      </c>
      <c r="G10" s="7">
        <v>0</v>
      </c>
    </row>
    <row r="11" spans="1:7" ht="28.8">
      <c r="A11" s="3" t="s">
        <v>8</v>
      </c>
      <c r="B11">
        <f>COUNTBLANK(train!I2:I892)</f>
        <v>0</v>
      </c>
      <c r="E11" s="2" t="s">
        <v>1247</v>
      </c>
      <c r="F11" s="6">
        <f>COUNTBLANK(train!L2:L892)</f>
        <v>0</v>
      </c>
      <c r="G11" s="7">
        <v>0</v>
      </c>
    </row>
    <row r="12" spans="1:7">
      <c r="A12" s="3" t="s">
        <v>9</v>
      </c>
      <c r="B12">
        <f>COUNTBLANK(train!J2:J892)</f>
        <v>0</v>
      </c>
    </row>
    <row r="13" spans="1:7">
      <c r="A13" s="3" t="s">
        <v>10</v>
      </c>
      <c r="B13">
        <f>COUNTBLANK(train!K2:K892)</f>
        <v>0</v>
      </c>
    </row>
    <row r="14" spans="1:7">
      <c r="A14" s="3" t="s">
        <v>11</v>
      </c>
      <c r="B14">
        <f>COUNTBLANK(train!L2:L892)</f>
        <v>0</v>
      </c>
    </row>
    <row r="15" spans="1:7">
      <c r="A15" s="5" t="s">
        <v>1228</v>
      </c>
      <c r="B15" s="4" t="s">
        <v>1229</v>
      </c>
    </row>
    <row r="16" spans="1:7">
      <c r="A16" s="2"/>
      <c r="B16" s="3"/>
    </row>
    <row r="21" spans="1:2">
      <c r="A21" s="1" t="s">
        <v>1226</v>
      </c>
      <c r="B21" s="1" t="s">
        <v>1227</v>
      </c>
    </row>
    <row r="22" spans="1:2">
      <c r="A22" s="2" t="s">
        <v>1228</v>
      </c>
      <c r="B22" s="2" t="s">
        <v>1229</v>
      </c>
    </row>
    <row r="23" spans="1:2">
      <c r="A23" s="2" t="s">
        <v>1230</v>
      </c>
      <c r="B23" s="6" t="s">
        <v>1231</v>
      </c>
    </row>
    <row r="24" spans="1:2">
      <c r="A24" s="2" t="s">
        <v>1232</v>
      </c>
      <c r="B24" s="6" t="s">
        <v>1248</v>
      </c>
    </row>
    <row r="25" spans="1:2">
      <c r="A25" s="2" t="s">
        <v>1233</v>
      </c>
      <c r="B25" s="6" t="s">
        <v>1234</v>
      </c>
    </row>
    <row r="26" spans="1:2">
      <c r="A26" s="2" t="s">
        <v>1235</v>
      </c>
      <c r="B26" s="6" t="s">
        <v>1236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Data Quality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Challagundla Mahendra</dc:creator>
  <cp:lastModifiedBy>Challagundla Mahendra</cp:lastModifiedBy>
  <dcterms:created xsi:type="dcterms:W3CDTF">2026-09-21T15:19:39Z</dcterms:created>
  <dcterms:modified xsi:type="dcterms:W3CDTF">2026-09-26T13:39:50Z</dcterms:modified>
</cp:coreProperties>
</file>